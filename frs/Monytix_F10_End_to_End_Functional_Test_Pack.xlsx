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Summary" sheetId="1" state="visible" r:id="rId3"/>
    <sheet name="01_Master_E2E_Scenarios" sheetId="2" state="visible" r:id="rId4"/>
    <sheet name="02_D1_D30_Decision_Coverage" sheetId="3" state="visible" r:id="rId5"/>
    <sheet name="03_Transaction_Edge_Cases" sheetId="4" state="visible" r:id="rId6"/>
    <sheet name="04_Historical_Onboarding" sheetId="5" state="visible" r:id="rId7"/>
    <sheet name="05_Journey_Rewards_Assertions" sheetId="6" state="visible" r:id="rId8"/>
    <sheet name="06_API_Event_UI_Trace" sheetId="7" state="visible" r:id="rId9"/>
    <sheet name="07_Negative_Resilience_Tests" sheetId="8" state="visible" r:id="rId10"/>
    <sheet name="08_Test_Data_Pack" sheetId="9" state="visible" r:id="rId11"/>
    <sheet name="09_Exit_Criteria" sheetId="10" state="visible" r:id="rId12"/>
    <sheet name="10_Open_Issues_Blocked_Tests" sheetId="11" state="visible" r:id="rId13"/>
  </sheets>
  <definedNames>
    <definedName function="false" hidden="true" localSheetId="1" name="_xlnm._FilterDatabase" vbProcedure="false">01_Master_E2E_Scenarios!$A$4:$X$54</definedName>
    <definedName function="false" hidden="true" localSheetId="2" name="_xlnm._FilterDatabase" vbProcedure="false">02_D1_D30_Decision_Coverage!$A$4:$H$34</definedName>
    <definedName function="false" hidden="true" localSheetId="3" name="_xlnm._FilterDatabase" vbProcedure="false">03_Transaction_Edge_Cases!$A$4:$G$16</definedName>
    <definedName function="false" hidden="true" localSheetId="4" name="_xlnm._FilterDatabase" vbProcedure="false">04_Historical_Onboarding!$A$4:$D$14</definedName>
    <definedName function="false" hidden="true" localSheetId="5" name="_xlnm._FilterDatabase" vbProcedure="false">05_Journey_Rewards_Assertions!$A$4:$E$16</definedName>
    <definedName function="false" hidden="true" localSheetId="6" name="_xlnm._FilterDatabase" vbProcedure="false">06_API_Event_UI_Trace!$A$4:$H$14</definedName>
    <definedName function="false" hidden="true" localSheetId="7" name="_xlnm._FilterDatabase" vbProcedure="false">07_Negative_Resilience_Tests!$A$4:$E$18</definedName>
    <definedName function="false" hidden="true" localSheetId="8" name="_xlnm._FilterDatabase" vbProcedure="false">08_Test_Data_Pack!$A$4:$D$16</definedName>
    <definedName function="false" hidden="true" localSheetId="9" name="_xlnm._FilterDatabase" vbProcedure="false">09_Exit_Criteria!$A$4:$D$18</definedName>
    <definedName function="false" hidden="true" localSheetId="10" name="_xlnm._FilterDatabase" vbProcedure="false">10_Open_Issues_Blocked_Tests!$A$4:$F$13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<sst xmlns="http://schemas.openxmlformats.org/spreadsheetml/2006/main" count="1989" uniqueCount="1391">
  <si>
    <t xml:space="preserve">F10 — End-to-End Functional Test Pack</t>
  </si>
  <si>
    <t xml:space="preserve">Functional acceptance and regression pack validating Evidence → F2 → F3 → D1-D30/F4 → F5 → F6 → F7 → F8 → UI/API behavior.</t>
  </si>
  <si>
    <t xml:space="preserve">Item</t>
  </si>
  <si>
    <t xml:space="preserve">Definition</t>
  </si>
  <si>
    <t xml:space="preserve">Purpose</t>
  </si>
  <si>
    <t xml:space="preserve">Validate the complete Monytix decision-intelligence chain against the frozen F0-F9 contracts.</t>
  </si>
  <si>
    <t xml:space="preserve">Scope</t>
  </si>
  <si>
    <t xml:space="preserve">Transactions, eligibility, Human Weights, Decisions/FPS, Reflection/Decision Mode, Intent/Missions, Learning, Journey, Rewards, historical onboarding, retries and failure isolation.</t>
  </si>
  <si>
    <t xml:space="preserve">Source of truth</t>
  </si>
  <si>
    <t xml:space="preserve">F0-F8 docs; F9-F master; F9C+F9D master; F9E+F9F master; F9G; F9H</t>
  </si>
  <si>
    <t xml:space="preserve">Test philosophy</t>
  </si>
  <si>
    <t xml:space="preserve">One event may affect many downstream layers, but canonical ownership, provenance, no double counting, and non-judgmental interpretation must remain intact.</t>
  </si>
  <si>
    <t xml:space="preserve">Pass standard</t>
  </si>
  <si>
    <t xml:space="preserve">Expected canonical state, events, recomputation, read-model refresh and UI state all match; no unauthorized cross-domain mutation.</t>
  </si>
  <si>
    <t xml:space="preserve">Known blockers</t>
  </si>
  <si>
    <t xml:space="preserve">P0/P1 issues are explicitly tracked; blocked tests are still specified so implementation gaps are visible.</t>
  </si>
  <si>
    <t xml:space="preserve">Total scenarios</t>
  </si>
  <si>
    <t xml:space="preserve">READY</t>
  </si>
  <si>
    <t xml:space="preserve">BLOCKED</t>
  </si>
  <si>
    <t xml:space="preserve">D1-D30 covered</t>
  </si>
  <si>
    <t xml:space="preserve">Current blocker count</t>
  </si>
  <si>
    <t xml:space="preserve">Blocked scenarios</t>
  </si>
  <si>
    <t xml:space="preserve">Decision rows</t>
  </si>
  <si>
    <t xml:space="preserve">F10 Master End-to-End Scenario Register</t>
  </si>
  <si>
    <t xml:space="preserve">Primary acceptance pack. Each row traces one business scenario across the complete Monytix functional chain.</t>
  </si>
  <si>
    <t xml:space="preserve">Scenario ID</t>
  </si>
  <si>
    <t xml:space="preserve">Priority</t>
  </si>
  <si>
    <t xml:space="preserve">Theme</t>
  </si>
  <si>
    <t xml:space="preserve">Scenario</t>
  </si>
  <si>
    <t xml:space="preserve">Preconditions</t>
  </si>
  <si>
    <t xml:space="preserve">Input / User Event</t>
  </si>
  <si>
    <t xml:space="preserve">Expected Category / Evidence</t>
  </si>
  <si>
    <t xml:space="preserve">F2 Eligibility</t>
  </si>
  <si>
    <t xml:space="preserve">F3 Weight Expectation</t>
  </si>
  <si>
    <t xml:space="preserve">Decision / F4</t>
  </si>
  <si>
    <t xml:space="preserve">Mission / Intent</t>
  </si>
  <si>
    <t xml:space="preserve">F6 Alignment</t>
  </si>
  <si>
    <t xml:space="preserve">F5 Reflection / Decision Mode</t>
  </si>
  <si>
    <t xml:space="preserve">F7 Learning</t>
  </si>
  <si>
    <t xml:space="preserve">F8 Journey</t>
  </si>
  <si>
    <t xml:space="preserve">F8 Rewards</t>
  </si>
  <si>
    <t xml:space="preserve">Key API / Contract</t>
  </si>
  <si>
    <t xml:space="preserve">Expected Event Chain</t>
  </si>
  <si>
    <t xml:space="preserve">Expected UI State</t>
  </si>
  <si>
    <t xml:space="preserve">Negative / Edge?</t>
  </si>
  <si>
    <t xml:space="preserve">Idempotency / Dedupe</t>
  </si>
  <si>
    <t xml:space="preserve">Readiness</t>
  </si>
  <si>
    <t xml:space="preserve">Blocker / Open Issue</t>
  </si>
  <si>
    <t xml:space="preserve">Pass Criteria</t>
  </si>
  <si>
    <t xml:space="preserve">F10-E2E-001</t>
  </si>
  <si>
    <t xml:space="preserve">P0</t>
  </si>
  <si>
    <t xml:space="preserve">Historical onboarding</t>
  </si>
  <si>
    <t xml:space="preserve">12-month history establishes baseline without retroactive point inflation</t>
  </si>
  <si>
    <t xml:space="preserve">New authenticated user; supported bank/file history available</t>
  </si>
  <si>
    <t xml:space="preserve">Import 12 months of transactions</t>
  </si>
  <si>
    <t xml:space="preserve">Existing 26-category / 145-subcategory taxonomy</t>
  </si>
  <si>
    <t xml:space="preserve">Batch IGNORE/OBSERVE/WEIGHT/PROMOTE per event</t>
  </si>
  <si>
    <t xml:space="preserve">System weights assigned only to eligible events; no manual confirmation required</t>
  </si>
  <si>
    <t xml:space="preserve">Historical D1-D30 context may be reconstructed; no synthetic user acceptance</t>
  </si>
  <si>
    <t xml:space="preserve">Starting Missions/progress may be initialized where supported</t>
  </si>
  <si>
    <t xml:space="preserve">Historical alignment can establish baseline</t>
  </si>
  <si>
    <t xml:space="preserve">No Decision Mode inferred from silence</t>
  </si>
  <si>
    <t xml:space="preserve">Baseline patterns established; confidence based on history</t>
  </si>
  <si>
    <t xml:space="preserve">Historical achievements may appear as pre-Monytix context</t>
  </si>
  <si>
    <t xml:space="preserve">0 normal retroactive M-Points; optional +25 Baseline Established once</t>
  </si>
  <si>
    <t xml:space="preserve">POST /v1/imports; GET /v1/imports/{import_id}/status</t>
  </si>
  <si>
    <t xml:space="preserve">HISTORICAL_IMPORT_COMPLETED</t>
  </si>
  <si>
    <t xml:space="preserve">LOADING/REFRESHING → READY; baseline marker shown</t>
  </si>
  <si>
    <t xml:space="preserve">No</t>
  </si>
  <si>
    <t xml:space="preserve">Import idempotency</t>
  </si>
  <si>
    <t xml:space="preserve">reward_start_at set; historical occurred_at preserved; F7 learns from history; no normal reward replay.</t>
  </si>
  <si>
    <t xml:space="preserve">F10-E2E-002</t>
  </si>
  <si>
    <t xml:space="preserve">Manual transaction</t>
  </si>
  <si>
    <t xml:space="preserve">Create a manual discretionary purchase and run full pipeline</t>
  </si>
  <si>
    <t xml:space="preserve">User authenticated; taxonomy available</t>
  </si>
  <si>
    <t xml:space="preserve">₹4,200 Zara purchase; occurred today; Shopping/Apparel</t>
  </si>
  <si>
    <t xml:space="preserve">Shopping &gt; Apparel</t>
  </si>
  <si>
    <t xml:space="preserve">WEIGHT</t>
  </si>
  <si>
    <t xml:space="preserve">W02 Comfort likely Primary; W05 Identity only if high-context evidence supports</t>
  </si>
  <si>
    <t xml:space="preserve">Potential D24 if thresholds met</t>
  </si>
  <si>
    <t xml:space="preserve">Existing Safety mission behind target</t>
  </si>
  <si>
    <t xml:space="preserve">Could be TENSION if material to mission</t>
  </si>
  <si>
    <t xml:space="preserve">Optional mode/reflection only; no forced input</t>
  </si>
  <si>
    <t xml:space="preserve">May contribute to Comfort pattern only with recurrence</t>
  </si>
  <si>
    <t xml:space="preserve">No Journey from single purchase</t>
  </si>
  <si>
    <t xml:space="preserve">No reward</t>
  </si>
  <si>
    <t xml:space="preserve">POST /v1/transactions/manual; GET /v1/ui/transactions/{txn_id}/context</t>
  </si>
  <si>
    <t xml:space="preserve">TRANSACTION_CREATED → WEIGHT_ASSIGNED</t>
  </si>
  <si>
    <t xml:space="preserve">SUBMITTING → WRITE_COMMITTED → DERIVED_REFRESH_PENDING → READY</t>
  </si>
  <si>
    <t xml:space="preserve">Idempotency key required</t>
  </si>
  <si>
    <t xml:space="preserve">F9H-07</t>
  </si>
  <si>
    <t xml:space="preserve">Manual Entry must expose canonical W01-W10; Identity must not be inferred from merchant/category alone.</t>
  </si>
  <si>
    <t xml:space="preserve">F10-E2E-003</t>
  </si>
  <si>
    <t xml:space="preserve">Human Context</t>
  </si>
  <si>
    <t xml:space="preserve">Completed food-delivery transaction marked Avoided</t>
  </si>
  <si>
    <t xml:space="preserve">Existing eligible Swiggy transaction; W02 assigned</t>
  </si>
  <si>
    <t xml:space="preserve">User selects AVOIDED; optional reflection “I would cook next time”</t>
  </si>
  <si>
    <t xml:space="preserve">Dining / Food Delivery</t>
  </si>
  <si>
    <t xml:space="preserve">Already WEIGHT</t>
  </si>
  <si>
    <t xml:space="preserve">W02 remains possible; mode does not reassign Weight</t>
  </si>
  <si>
    <t xml:space="preserve">Any D23/D10 only if financial triggers exist</t>
  </si>
  <si>
    <t xml:space="preserve">Emergency Fund mission active</t>
  </si>
  <si>
    <t xml:space="preserve">Potential TENSION based on financial impact, not mode alone</t>
  </si>
  <si>
    <t xml:space="preserve">Decision Mode = AVOIDED means transaction happened but user would have preferred to avoid it</t>
  </si>
  <si>
    <t xml:space="preserve">Comparable repeated evidence may create Comfort×Avoided pattern</t>
  </si>
  <si>
    <t xml:space="preserve">Only after established material shift, not from this single annotation</t>
  </si>
  <si>
    <t xml:space="preserve">0 points for reflection or mode</t>
  </si>
  <si>
    <t xml:space="preserve">POST /v1/human-context/transactions/{txn_id}/context-feedback</t>
  </si>
  <si>
    <t xml:space="preserve">DECISION_MODE_UPDATED / REFLECTION_SUBMITTED</t>
  </si>
  <si>
    <t xml:space="preserve">WRITE_COMMITTED then learning refresh pending</t>
  </si>
  <si>
    <t xml:space="preserve">Safe retry</t>
  </si>
  <si>
    <t xml:space="preserve">Avoided definition preserved; no cancellation semantics; no reward for tagging/reflection.</t>
  </si>
  <si>
    <t xml:space="preserve">F10-E2E-004</t>
  </si>
  <si>
    <t xml:space="preserve">Income / Decision</t>
  </si>
  <si>
    <t xml:space="preserve">Salary credit triggers Salary Day Allocation</t>
  </si>
  <si>
    <t xml:space="preserve">Salary classifier high-confidence; within 48h</t>
  </si>
  <si>
    <t xml:space="preserve">₹1,50,000 salary credit</t>
  </si>
  <si>
    <t xml:space="preserve">Income &gt; Salary</t>
  </si>
  <si>
    <t xml:space="preserve">PROMOTE</t>
  </si>
  <si>
    <t xml:space="preserve">Opportunity + Resilience candidates</t>
  </si>
  <si>
    <t xml:space="preserve">D15 Salary Day Allocation</t>
  </si>
  <si>
    <t xml:space="preserve">Active Missions may shape allocation</t>
  </si>
  <si>
    <t xml:space="preserve">Mission context can influence secondaries</t>
  </si>
  <si>
    <t xml:space="preserve">Optional reflection after decision, not required</t>
  </si>
  <si>
    <t xml:space="preserve">Allocation pattern can be learned across salary cycles</t>
  </si>
  <si>
    <t xml:space="preserve">Only longitudinal change/meaningful outcome</t>
  </si>
  <si>
    <t xml:space="preserve">Reward only after verified action/progress, not salary detection</t>
  </si>
  <si>
    <t xml:space="preserve">GET /v1/ui/live; GET /v1/ui/decisions</t>
  </si>
  <si>
    <t xml:space="preserve">TRANSACTION_CREATED → DECISION_GENERATED</t>
  </si>
  <si>
    <t xml:space="preserve">Live/Decisions refresh</t>
  </si>
  <si>
    <t xml:space="preserve">Event dedupe</t>
  </si>
  <si>
    <t xml:space="preserve">D15 appears only when trigger holds; salary receipt itself does not earn M-Points.</t>
  </si>
  <si>
    <t xml:space="preserve">F10-E2E-005</t>
  </si>
  <si>
    <t xml:space="preserve">Obligation / Decision</t>
  </si>
  <si>
    <t xml:space="preserve">Projected cash threatens EMI coverage</t>
  </si>
  <si>
    <t xml:space="preserve">Loan/EMI schedule available; projected cash &lt; EMI×1.2</t>
  </si>
  <si>
    <t xml:space="preserve">Upcoming EMI ₹48,000</t>
  </si>
  <si>
    <t xml:space="preserve">Loan / EMI</t>
  </si>
  <si>
    <t xml:space="preserve">W04 Obligations + W09 Resilience + W03 Risk</t>
  </si>
  <si>
    <t xml:space="preserve">D4 Loan EMI Protection</t>
  </si>
  <si>
    <t xml:space="preserve">Debt/Safety mission may link</t>
  </si>
  <si>
    <t xml:space="preserve">SUPPORTIVE if reserve action protects mission; TENSION if cash shortfall</t>
  </si>
  <si>
    <t xml:space="preserve">Optional mode only on completed transaction, not projected obligation</t>
  </si>
  <si>
    <t xml:space="preserve">Outcome after reserve/payment informs learning</t>
  </si>
  <si>
    <t xml:space="preserve">Journey only if meaningful protection/recovery pattern</t>
  </si>
  <si>
    <t xml:space="preserve">Points only for verified qualifying progress, not warning</t>
  </si>
  <si>
    <t xml:space="preserve">GET /v1/ui/decisions; POST /v1/decisions/{id}/actions</t>
  </si>
  <si>
    <t xml:space="preserve">DECISION_GENERATED / ACCEPTED / COMPLETED</t>
  </si>
  <si>
    <t xml:space="preserve">Decision lifecycle states</t>
  </si>
  <si>
    <t xml:space="preserve">Lifecycle ordering</t>
  </si>
  <si>
    <t xml:space="preserve">Projected warning and completed EMI remain distinct objects/states.</t>
  </si>
  <si>
    <t xml:space="preserve">F10-E2E-006</t>
  </si>
  <si>
    <t xml:space="preserve">Debt / Decision</t>
  </si>
  <si>
    <t xml:space="preserve">Credit-card due within 7 days</t>
  </si>
  <si>
    <t xml:space="preserve">Outstanding &gt; 0; due date &lt;7 days</t>
  </si>
  <si>
    <t xml:space="preserve">Outstanding card bill</t>
  </si>
  <si>
    <t xml:space="preserve">Credit Card / Payment Due</t>
  </si>
  <si>
    <t xml:space="preserve">W04 Obligations + W03 Risk; W09 secondary</t>
  </si>
  <si>
    <t xml:space="preserve">D3 Credit Card Payment</t>
  </si>
  <si>
    <t xml:space="preserve">Debt-reduction mission may link</t>
  </si>
  <si>
    <t xml:space="preserve">ALIGNED after verified payment if mission related</t>
  </si>
  <si>
    <t xml:space="preserve">Optional post-payment reflection</t>
  </si>
  <si>
    <t xml:space="preserve">Payment/outcome contributes to debt behavior pattern</t>
  </si>
  <si>
    <t xml:space="preserve">Milestone only if sustained/material</t>
  </si>
  <si>
    <t xml:space="preserve">15 M-Points only if qualifying on-time payment rule is active and authority resolved</t>
  </si>
  <si>
    <t xml:space="preserve">DECISION_GENERATED → DECISION_COMPLETED → outcome evaluation</t>
  </si>
  <si>
    <t xml:space="preserve">Decision detail then reward pending/awarded</t>
  </si>
  <si>
    <t xml:space="preserve">Duplicate payment/reward guard</t>
  </si>
  <si>
    <t xml:space="preserve">F9H-05</t>
  </si>
  <si>
    <t xml:space="preserve">Reward ledger authority must be singular before point assertion is production-passable.</t>
  </si>
  <si>
    <t xml:space="preserve">F10-E2E-007</t>
  </si>
  <si>
    <t xml:space="preserve">P1</t>
  </si>
  <si>
    <t xml:space="preserve">Protection</t>
  </si>
  <si>
    <t xml:space="preserve">Insurance renewal due &lt;30 days</t>
  </si>
  <si>
    <t xml:space="preserve">Policy expiry known</t>
  </si>
  <si>
    <t xml:space="preserve">Annual premium due</t>
  </si>
  <si>
    <t xml:space="preserve">Insurance / Premium</t>
  </si>
  <si>
    <t xml:space="preserve">D5 Insurance Renewal</t>
  </si>
  <si>
    <t xml:space="preserve">Protection mission may link</t>
  </si>
  <si>
    <t xml:space="preserve">ALIGNED if renewed toward protection intent</t>
  </si>
  <si>
    <t xml:space="preserve">Optional reflection</t>
  </si>
  <si>
    <t xml:space="preserve">Protection continuity/outcome learning</t>
  </si>
  <si>
    <t xml:space="preserve">Journey if protection milestone materially changes</t>
  </si>
  <si>
    <t xml:space="preserve">Reward only if explicit qualifying rule exists; otherwise 0</t>
  </si>
  <si>
    <t xml:space="preserve">GET /v1/ui/decisions</t>
  </si>
  <si>
    <t xml:space="preserve">DECISION_GENERATED</t>
  </si>
  <si>
    <t xml:space="preserve">Decision card</t>
  </si>
  <si>
    <t xml:space="preserve">—</t>
  </si>
  <si>
    <t xml:space="preserve">Renewal decision must not infer Identity/Comfort by default.</t>
  </si>
  <si>
    <t xml:space="preserve">F10-E2E-008</t>
  </si>
  <si>
    <t xml:space="preserve">Insurance coverage gap detected</t>
  </si>
  <si>
    <t xml:space="preserve">Coverage absent or &lt; annual income</t>
  </si>
  <si>
    <t xml:space="preserve">Protection gap</t>
  </si>
  <si>
    <t xml:space="preserve">Insurance state</t>
  </si>
  <si>
    <t xml:space="preserve">W03 Risk + W09 Resilience; Relationships contextual</t>
  </si>
  <si>
    <t xml:space="preserve">D6 Insurance Coverage Gap</t>
  </si>
  <si>
    <t xml:space="preserve">Safety/Family mission may link</t>
  </si>
  <si>
    <t xml:space="preserve">TENSION until gap addressed; ALIGNED after verified outcome</t>
  </si>
  <si>
    <t xml:space="preserve">Optional</t>
  </si>
  <si>
    <t xml:space="preserve">Outcome evidence drives learning</t>
  </si>
  <si>
    <t xml:space="preserve">Journey only if coverage materially improves</t>
  </si>
  <si>
    <t xml:space="preserve">Reward only for verified protection milestone if rule exists</t>
  </si>
  <si>
    <t xml:space="preserve">READY / attention state</t>
  </si>
  <si>
    <t xml:space="preserve">Relationships only with dependent/context evidence.</t>
  </si>
  <si>
    <t xml:space="preserve">F10-E2E-009</t>
  </si>
  <si>
    <t xml:space="preserve">Cash allocation</t>
  </si>
  <si>
    <t xml:space="preserve">Idle cash exceeds buffer threshold</t>
  </si>
  <si>
    <t xml:space="preserve">Cash &gt; 3-month buffer +20%</t>
  </si>
  <si>
    <t xml:space="preserve">Idle cash balance</t>
  </si>
  <si>
    <t xml:space="preserve">Cash / Savings</t>
  </si>
  <si>
    <t xml:space="preserve">W07 Opportunity; W09/W10 contextual</t>
  </si>
  <si>
    <t xml:space="preserve">D7 Idle Cash Deployment</t>
  </si>
  <si>
    <t xml:space="preserve">Goal-linked Mission may shape meaning</t>
  </si>
  <si>
    <t xml:space="preserve">SUPPORTIVE/ALIGNED if deployed to active intent</t>
  </si>
  <si>
    <t xml:space="preserve">Allocation outcomes learned</t>
  </si>
  <si>
    <t xml:space="preserve">Possible Journey after material deployment</t>
  </si>
  <si>
    <t xml:space="preserve">Reward after verified Mission progress, not recommendation</t>
  </si>
  <si>
    <t xml:space="preserve">Decision surfaced</t>
  </si>
  <si>
    <t xml:space="preserve">Do not force investment if liquidity context argues otherwise.</t>
  </si>
  <si>
    <t xml:space="preserve">F10-E2E-010</t>
  </si>
  <si>
    <t xml:space="preserve">Monthly surplus &gt;10% income</t>
  </si>
  <si>
    <t xml:space="preserve">Income/expense month closed</t>
  </si>
  <si>
    <t xml:space="preserve">Surplus identified</t>
  </si>
  <si>
    <t xml:space="preserve">Cashflow aggregate</t>
  </si>
  <si>
    <t xml:space="preserve">W07 Opportunity + W09 Resilience</t>
  </si>
  <si>
    <t xml:space="preserve">D8 Income Surplus Allocation</t>
  </si>
  <si>
    <t xml:space="preserve">Multiple Missions may compete</t>
  </si>
  <si>
    <t xml:space="preserve">Contextual based on chosen allocation</t>
  </si>
  <si>
    <t xml:space="preserve">Repeated allocation priorities learned</t>
  </si>
  <si>
    <t xml:space="preserve">Journey on sustained shift only</t>
  </si>
  <si>
    <t xml:space="preserve">Reward only on verified progress</t>
  </si>
  <si>
    <t xml:space="preserve">Mission weights influence but do not copy automatically.</t>
  </si>
  <si>
    <t xml:space="preserve">F10-E2E-011</t>
  </si>
  <si>
    <t xml:space="preserve">Recurring spend</t>
  </si>
  <si>
    <t xml:space="preserve">Recurring commitments increase &gt;10% MoM</t>
  </si>
  <si>
    <t xml:space="preserve">Recurring detector available</t>
  </si>
  <si>
    <t xml:space="preserve">New/rising subscription/commitment</t>
  </si>
  <si>
    <t xml:space="preserve">Subscriptions / recurring</t>
  </si>
  <si>
    <t xml:space="preserve">WEIGHT/PROMOTE</t>
  </si>
  <si>
    <t xml:space="preserve">W08 Attention + W04 Obligations; W02 if discretionary</t>
  </si>
  <si>
    <t xml:space="preserve">D9 Recurring Review</t>
  </si>
  <si>
    <t xml:space="preserve">Could conflict with savings mission</t>
  </si>
  <si>
    <t xml:space="preserve">TENSION only if material to intent</t>
  </si>
  <si>
    <t xml:space="preserve">Recurring pattern learning</t>
  </si>
  <si>
    <t xml:space="preserve">Journey if established pattern changes</t>
  </si>
  <si>
    <t xml:space="preserve">No direct reward</t>
  </si>
  <si>
    <t xml:space="preserve">Auto-pay indicates Attention mechanics, not Identity.</t>
  </si>
  <si>
    <t xml:space="preserve">F10-E2E-012</t>
  </si>
  <si>
    <t xml:space="preserve">Spend anomaly</t>
  </si>
  <si>
    <t xml:space="preserve">Category spend &gt; historical avg +25%</t>
  </si>
  <si>
    <t xml:space="preserve">Historical baseline available</t>
  </si>
  <si>
    <t xml:space="preserve">Shopping spike</t>
  </si>
  <si>
    <t xml:space="preserve">Shopping</t>
  </si>
  <si>
    <t xml:space="preserve">Transaction weights contextual; decision-level W09 Resilience typical</t>
  </si>
  <si>
    <t xml:space="preserve">D10 Expense Spike Review</t>
  </si>
  <si>
    <t xml:space="preserve">Safety mission if affected</t>
  </si>
  <si>
    <t xml:space="preserve">TENSION/CONFLICTING only when materially delays intent</t>
  </si>
  <si>
    <t xml:space="preserve">Spike recurrence/outcome learned</t>
  </si>
  <si>
    <t xml:space="preserve">Journey only if sustained shift</t>
  </si>
  <si>
    <t xml:space="preserve">No reward for “spending less” unless defined verified progress</t>
  </si>
  <si>
    <t xml:space="preserve">Spike is not automatically bad; reason/category context retained.</t>
  </si>
  <si>
    <t xml:space="preserve">F10-E2E-013</t>
  </si>
  <si>
    <t xml:space="preserve">Forecast</t>
  </si>
  <si>
    <t xml:space="preserve">Upcoming expense &gt;20% income within 30 days</t>
  </si>
  <si>
    <t xml:space="preserve">Known future expense</t>
  </si>
  <si>
    <t xml:space="preserve">₹50k school fee in 3 weeks</t>
  </si>
  <si>
    <t xml:space="preserve">Education / Fees</t>
  </si>
  <si>
    <t xml:space="preserve">W09 Resilience + W03 Risk; W04/W06 contextual</t>
  </si>
  <si>
    <t xml:space="preserve">D11 Large Expense Warning</t>
  </si>
  <si>
    <t xml:space="preserve">Education/family mission may link</t>
  </si>
  <si>
    <t xml:space="preserve">Could be ALIGNED with mission but stress cash buffer</t>
  </si>
  <si>
    <t xml:space="preserve">Funding outcome learned</t>
  </si>
  <si>
    <t xml:space="preserve">Journey if preparation meaningfully improves stability</t>
  </si>
  <si>
    <t xml:space="preserve">Relationships should require context, not category alone.</t>
  </si>
  <si>
    <t xml:space="preserve">F10-E2E-014</t>
  </si>
  <si>
    <t xml:space="preserve">Projected cash below upcoming obligations</t>
  </si>
  <si>
    <t xml:space="preserve">Projection engine ready</t>
  </si>
  <si>
    <t xml:space="preserve">30-day shortfall</t>
  </si>
  <si>
    <t xml:space="preserve">Cashflow forecast</t>
  </si>
  <si>
    <t xml:space="preserve">W09 Resilience + W03 Risk + W04 Obligations</t>
  </si>
  <si>
    <t xml:space="preserve">D12 Cash Crunch Forecast</t>
  </si>
  <si>
    <t xml:space="preserve">Safety/Debt mission link</t>
  </si>
  <si>
    <t xml:space="preserve">CONFLICTING if commitments at risk</t>
  </si>
  <si>
    <t xml:space="preserve">Recovery pattern learned</t>
  </si>
  <si>
    <t xml:space="preserve">Recovery can become Journey</t>
  </si>
  <si>
    <t xml:space="preserve">Recovery reward possible only per F8 rule and ledger authority</t>
  </si>
  <si>
    <t xml:space="preserve">High-attention decision state</t>
  </si>
  <si>
    <t xml:space="preserve">Reward assertion blocked; functional decision path ready.</t>
  </si>
  <si>
    <t xml:space="preserve">F10-E2E-015</t>
  </si>
  <si>
    <t xml:space="preserve">Savings</t>
  </si>
  <si>
    <t xml:space="preserve">Savings rate &lt;20%</t>
  </si>
  <si>
    <t xml:space="preserve">Month-level income/savings calculated</t>
  </si>
  <si>
    <t xml:space="preserve">Savings rate 12%</t>
  </si>
  <si>
    <t xml:space="preserve">Savings aggregate</t>
  </si>
  <si>
    <t xml:space="preserve">W09 Resilience + W07 Opportunity</t>
  </si>
  <si>
    <t xml:space="preserve">D13 Increase Monthly Savings</t>
  </si>
  <si>
    <t xml:space="preserve">Savings mission may link</t>
  </si>
  <si>
    <t xml:space="preserve">SUPPORTIVE after verified contribution</t>
  </si>
  <si>
    <t xml:space="preserve">Savings-rate trend learned</t>
  </si>
  <si>
    <t xml:space="preserve">Journey on established improvement</t>
  </si>
  <si>
    <t xml:space="preserve">30-point consistency only after qualifying cycles</t>
  </si>
  <si>
    <t xml:space="preserve">Reward authority needed for point assertion.</t>
  </si>
  <si>
    <t xml:space="preserve">F10-E2E-016</t>
  </si>
  <si>
    <t xml:space="preserve">Mission funding</t>
  </si>
  <si>
    <t xml:space="preserve">Mission &gt;10% behind plan</t>
  </si>
  <si>
    <t xml:space="preserve">Active mission behind trajectory</t>
  </si>
  <si>
    <t xml:space="preserve">Funding gap</t>
  </si>
  <si>
    <t xml:space="preserve">Mission state</t>
  </si>
  <si>
    <t xml:space="preserve">W07 Opportunity; Mission meaning supplies secondaries</t>
  </si>
  <si>
    <t xml:space="preserve">D14 Savings Goal Contribution</t>
  </si>
  <si>
    <t xml:space="preserve">Target mission itself</t>
  </si>
  <si>
    <t xml:space="preserve">ALIGNED when contribution recorded</t>
  </si>
  <si>
    <t xml:space="preserve">Alignment/outcome learned</t>
  </si>
  <si>
    <t xml:space="preserve">Journey on milestone/progress</t>
  </si>
  <si>
    <t xml:space="preserve">Points on verified contribution/milestone subject to rule</t>
  </si>
  <si>
    <t xml:space="preserve">GET /v1/ui/decisions; mission context</t>
  </si>
  <si>
    <t xml:space="preserve">Decision + Mission refresh</t>
  </si>
  <si>
    <t xml:space="preserve">F9H-03</t>
  </si>
  <si>
    <t xml:space="preserve">Mission contribution command missing; test defined but blocked.</t>
  </si>
  <si>
    <t xml:space="preserve">F10-E2E-017</t>
  </si>
  <si>
    <t xml:space="preserve">Savings capacity</t>
  </si>
  <si>
    <t xml:space="preserve">Income up &gt;10% or expense down &gt;10%</t>
  </si>
  <si>
    <t xml:space="preserve">Prior baseline available</t>
  </si>
  <si>
    <t xml:space="preserve">Capacity improves</t>
  </si>
  <si>
    <t xml:space="preserve">Monthly aggregate</t>
  </si>
  <si>
    <t xml:space="preserve">D16 Savings Rate Improvement</t>
  </si>
  <si>
    <t xml:space="preserve">Savings/retirement mission may link</t>
  </si>
  <si>
    <t xml:space="preserve">SUPPORTIVE when contribution changes</t>
  </si>
  <si>
    <t xml:space="preserve">Capacity utilization learned</t>
  </si>
  <si>
    <t xml:space="preserve">Journey on sustained behavior</t>
  </si>
  <si>
    <t xml:space="preserve">Possible consistency reward later</t>
  </si>
  <si>
    <t xml:space="preserve">Improvement opportunity should not be treated as completed outcome.</t>
  </si>
  <si>
    <t xml:space="preserve">F10-E2E-018</t>
  </si>
  <si>
    <t xml:space="preserve">Windfall</t>
  </si>
  <si>
    <t xml:space="preserve">Bonus &gt;15% monthly income</t>
  </si>
  <si>
    <t xml:space="preserve">Bonus classified</t>
  </si>
  <si>
    <t xml:space="preserve">₹75k bonus</t>
  </si>
  <si>
    <t xml:space="preserve">Income / Bonus</t>
  </si>
  <si>
    <t xml:space="preserve">W07 Opportunity; Resilience/Legacy contextual</t>
  </si>
  <si>
    <t xml:space="preserve">D17 Bonus Allocation</t>
  </si>
  <si>
    <t xml:space="preserve">Multiple missions may compete</t>
  </si>
  <si>
    <t xml:space="preserve">Contextual</t>
  </si>
  <si>
    <t xml:space="preserve">Windfall allocation pattern learned</t>
  </si>
  <si>
    <t xml:space="preserve">Journey after meaningful allocation outcome</t>
  </si>
  <si>
    <t xml:space="preserve">Reward only on resulting verified progress</t>
  </si>
  <si>
    <t xml:space="preserve">Bonus receipt itself no reward.</t>
  </si>
  <si>
    <t xml:space="preserve">F10-E2E-019</t>
  </si>
  <si>
    <t xml:space="preserve">Investment</t>
  </si>
  <si>
    <t xml:space="preserve">Surplus &gt;15% and EF &gt;3 months</t>
  </si>
  <si>
    <t xml:space="preserve">Investment and buffer states available</t>
  </si>
  <si>
    <t xml:space="preserve">Potential SIP increase</t>
  </si>
  <si>
    <t xml:space="preserve">Investment / SIP</t>
  </si>
  <si>
    <t xml:space="preserve">W07 Opportunity; W10/W09/W03 contextual</t>
  </si>
  <si>
    <t xml:space="preserve">D18 SIP Increase</t>
  </si>
  <si>
    <t xml:space="preserve">Retirement/wealth mission may link</t>
  </si>
  <si>
    <t xml:space="preserve">ALIGNED if linked</t>
  </si>
  <si>
    <t xml:space="preserve">Investment consistency learned</t>
  </si>
  <si>
    <t xml:space="preserve">Journey after sustained shift</t>
  </si>
  <si>
    <t xml:space="preserve">30 points only after qualifying 3-cycle consistency</t>
  </si>
  <si>
    <t xml:space="preserve">Point assertion blocked by reward authority.</t>
  </si>
  <si>
    <t xml:space="preserve">F10-E2E-020</t>
  </si>
  <si>
    <t xml:space="preserve">Idle cash &gt;25% monthly income</t>
  </si>
  <si>
    <t xml:space="preserve">Cash context available</t>
  </si>
  <si>
    <t xml:space="preserve">Idle cash investment opportunity</t>
  </si>
  <si>
    <t xml:space="preserve">Cash/Investment</t>
  </si>
  <si>
    <t xml:space="preserve">W07 Opportunity + W03 Risk</t>
  </si>
  <si>
    <t xml:space="preserve">D19 Idle Cash Investment</t>
  </si>
  <si>
    <t xml:space="preserve">Goal mission may link</t>
  </si>
  <si>
    <t xml:space="preserve">Outcome and risk exposure learned</t>
  </si>
  <si>
    <t xml:space="preserve">Journey only on material outcome</t>
  </si>
  <si>
    <t xml:space="preserve">No immediate reward</t>
  </si>
  <si>
    <t xml:space="preserve">Liquidity and risk context must remain visible.</t>
  </si>
  <si>
    <t xml:space="preserve">F10-E2E-021</t>
  </si>
  <si>
    <t xml:space="preserve">Asset allocation drift &gt;10%</t>
  </si>
  <si>
    <t xml:space="preserve">Portfolio target exists</t>
  </si>
  <si>
    <t xml:space="preserve">Drift detected</t>
  </si>
  <si>
    <t xml:space="preserve">Investment / Portfolio</t>
  </si>
  <si>
    <t xml:space="preserve">W03 Risk + W08 Attention</t>
  </si>
  <si>
    <t xml:space="preserve">D20 Asset Allocation Drift</t>
  </si>
  <si>
    <t xml:space="preserve">SUPPORTIVE when corrected</t>
  </si>
  <si>
    <t xml:space="preserve">Allocation discipline pattern learned</t>
  </si>
  <si>
    <t xml:space="preserve">Journey if material portfolio risk posture changes</t>
  </si>
  <si>
    <t xml:space="preserve">No direct reward unless defined outcome</t>
  </si>
  <si>
    <t xml:space="preserve">No personality label like risk-averse.</t>
  </si>
  <si>
    <t xml:space="preserve">F10-E2E-022</t>
  </si>
  <si>
    <t xml:space="preserve">Investment goal</t>
  </si>
  <si>
    <t xml:space="preserve">Goal funding &gt;15% behind</t>
  </si>
  <si>
    <t xml:space="preserve">Goal/mission linked</t>
  </si>
  <si>
    <t xml:space="preserve">Investment goal gap</t>
  </si>
  <si>
    <t xml:space="preserve">W07 Opportunity; W10/W06/W01 contextual</t>
  </si>
  <si>
    <t xml:space="preserve">D21 Investment Goal Funding</t>
  </si>
  <si>
    <t xml:space="preserve">Goal-linked Mission</t>
  </si>
  <si>
    <t xml:space="preserve">ALIGNED after contribution</t>
  </si>
  <si>
    <t xml:space="preserve">Progress trend learned</t>
  </si>
  <si>
    <t xml:space="preserve">Journey on milestone</t>
  </si>
  <si>
    <t xml:space="preserve">Reward via mission milestone rules</t>
  </si>
  <si>
    <t xml:space="preserve">F9H-03; F9H-05</t>
  </si>
  <si>
    <t xml:space="preserve">Contribution and reward authority gaps.</t>
  </si>
  <si>
    <t xml:space="preserve">F10-E2E-023</t>
  </si>
  <si>
    <t xml:space="preserve">Retirement</t>
  </si>
  <si>
    <t xml:space="preserve">Retirement gap &gt;10%</t>
  </si>
  <si>
    <t xml:space="preserve">Retirement target exists</t>
  </si>
  <si>
    <t xml:space="preserve">Contribution increase needed</t>
  </si>
  <si>
    <t xml:space="preserve">W10 Legacy + W07 Opportunity</t>
  </si>
  <si>
    <t xml:space="preserve">D22 Retirement Contribution Increase</t>
  </si>
  <si>
    <t xml:space="preserve">Retirement mission</t>
  </si>
  <si>
    <t xml:space="preserve">ALIGNED</t>
  </si>
  <si>
    <t xml:space="preserve">Long-horizon progress learned</t>
  </si>
  <si>
    <t xml:space="preserve">Journey on material change</t>
  </si>
  <si>
    <t xml:space="preserve">Reward only per verified milestone</t>
  </si>
  <si>
    <t xml:space="preserve">Reward authority only.</t>
  </si>
  <si>
    <t xml:space="preserve">F10-E2E-024</t>
  </si>
  <si>
    <t xml:space="preserve">Dining</t>
  </si>
  <si>
    <t xml:space="preserve">Dining &gt;8% income or &gt;30% historical avg</t>
  </si>
  <si>
    <t xml:space="preserve">Category history available</t>
  </si>
  <si>
    <t xml:space="preserve">Dining overspend</t>
  </si>
  <si>
    <t xml:space="preserve">W02 Comfort at event-level possible; W09 at decision-level contextual</t>
  </si>
  <si>
    <t xml:space="preserve">D23 Dining Optimization</t>
  </si>
  <si>
    <t xml:space="preserve">Savings mission may be affected</t>
  </si>
  <si>
    <t xml:space="preserve">TENSION only if material</t>
  </si>
  <si>
    <t xml:space="preserve">Comfort vs Resilience pattern may emerge</t>
  </si>
  <si>
    <t xml:space="preserve">Journey on established conflict shift</t>
  </si>
  <si>
    <t xml:space="preserve">No moral label; user intent/context retained.</t>
  </si>
  <si>
    <t xml:space="preserve">F10-E2E-025</t>
  </si>
  <si>
    <t xml:space="preserve">Shopping &gt;10% income or &gt;40% historical avg</t>
  </si>
  <si>
    <t xml:space="preserve">Shopping overspend</t>
  </si>
  <si>
    <t xml:space="preserve">W02 Comfort; W05 Identity only with context</t>
  </si>
  <si>
    <t xml:space="preserve">D24 Shopping Optimization</t>
  </si>
  <si>
    <t xml:space="preserve">Savings/goal mission may be affected</t>
  </si>
  <si>
    <t xml:space="preserve">TENSION if material</t>
  </si>
  <si>
    <t xml:space="preserve">Context-specific pattern learned</t>
  </si>
  <si>
    <t xml:space="preserve">Journey on sustained change</t>
  </si>
  <si>
    <t xml:space="preserve">Identity safeguard enforced.</t>
  </si>
  <si>
    <t xml:space="preserve">F10-E2E-026</t>
  </si>
  <si>
    <t xml:space="preserve">Entertainment</t>
  </si>
  <si>
    <t xml:space="preserve">Entertainment &gt;5% income</t>
  </si>
  <si>
    <t xml:space="preserve">Income baseline available</t>
  </si>
  <si>
    <t xml:space="preserve">Entertainment threshold crossed</t>
  </si>
  <si>
    <t xml:space="preserve">W02 Comfort; W09 contextual</t>
  </si>
  <si>
    <t xml:space="preserve">D25 Entertainment Review</t>
  </si>
  <si>
    <t xml:space="preserve">Lifestyle vs safety mission possible</t>
  </si>
  <si>
    <t xml:space="preserve">Pattern learned</t>
  </si>
  <si>
    <t xml:space="preserve">Journey only with recurrence/change</t>
  </si>
  <si>
    <t xml:space="preserve">No over-tagging.</t>
  </si>
  <si>
    <t xml:space="preserve">F10-E2E-027</t>
  </si>
  <si>
    <t xml:space="preserve">Travel</t>
  </si>
  <si>
    <t xml:space="preserve">Travel budget &gt;15% income</t>
  </si>
  <si>
    <t xml:space="preserve">Travel spend/budget known</t>
  </si>
  <si>
    <t xml:space="preserve">Travel threshold crossed</t>
  </si>
  <si>
    <t xml:space="preserve">W02 Comfort; W01 Time/W06 Relationships contextual</t>
  </si>
  <si>
    <t xml:space="preserve">D26 Travel Review</t>
  </si>
  <si>
    <t xml:space="preserve">Travel mission may itself make spend ALIGNED</t>
  </si>
  <si>
    <t xml:space="preserve">ALIGNED or TENSION depending explicit intent</t>
  </si>
  <si>
    <t xml:space="preserve">Trade-off pattern learned</t>
  </si>
  <si>
    <t xml:space="preserve">Journey if meaningful trip/financial change</t>
  </si>
  <si>
    <t xml:space="preserve">No direct reward unless mission milestone</t>
  </si>
  <si>
    <t xml:space="preserve">Same spend can be aligned with Travel mission; avoid “bad spend” assumption.</t>
  </si>
  <si>
    <t xml:space="preserve">F10-E2E-028</t>
  </si>
  <si>
    <t xml:space="preserve">Discretionary pacing</t>
  </si>
  <si>
    <t xml:space="preserve">&gt;60% discretionary spend before half month</t>
  </si>
  <si>
    <t xml:space="preserve">Month-progress context available</t>
  </si>
  <si>
    <t xml:space="preserve">Fast discretionary burn</t>
  </si>
  <si>
    <t xml:space="preserve">Discretionary aggregate</t>
  </si>
  <si>
    <t xml:space="preserve">W09 Resilience; W02 contextual</t>
  </si>
  <si>
    <t xml:space="preserve">D27 Discretionary Spend Alert</t>
  </si>
  <si>
    <t xml:space="preserve">Safety/savings mission may be affected</t>
  </si>
  <si>
    <t xml:space="preserve">TENSION/CONFLICTING only if material</t>
  </si>
  <si>
    <t xml:space="preserve">Timing pattern learned</t>
  </si>
  <si>
    <t xml:space="preserve">Journey on established pacing shift</t>
  </si>
  <si>
    <t xml:space="preserve">Attention state</t>
  </si>
  <si>
    <t xml:space="preserve">Temporal context preserved.</t>
  </si>
  <si>
    <t xml:space="preserve">F10-E2E-029</t>
  </si>
  <si>
    <t xml:space="preserve">Mission acceleration</t>
  </si>
  <si>
    <t xml:space="preserve">Action improves mission completion &gt;10%</t>
  </si>
  <si>
    <t xml:space="preserve">Active mission + feasible action</t>
  </si>
  <si>
    <t xml:space="preserve">Allocate surplus to mission</t>
  </si>
  <si>
    <t xml:space="preserve">Mission context</t>
  </si>
  <si>
    <t xml:space="preserve">W07 Opportunity; mission weights determine secondaries</t>
  </si>
  <si>
    <t xml:space="preserve">D28 Mission Acceleration</t>
  </si>
  <si>
    <t xml:space="preserve">Target Mission</t>
  </si>
  <si>
    <t xml:space="preserve">Acceleration/outcome learned</t>
  </si>
  <si>
    <t xml:space="preserve">Journey likely if material</t>
  </si>
  <si>
    <t xml:space="preserve">Milestone reward possible</t>
  </si>
  <si>
    <t xml:space="preserve">GET /v1/ui/decisions; mission APIs</t>
  </si>
  <si>
    <t xml:space="preserve">Decision/Mission refresh</t>
  </si>
  <si>
    <t xml:space="preserve">Contribution + reward authority required.</t>
  </si>
  <si>
    <t xml:space="preserve">F10-E2E-030</t>
  </si>
  <si>
    <t xml:space="preserve">Confidence opportunity</t>
  </si>
  <si>
    <t xml:space="preserve">Single action increases Confidence ≥3</t>
  </si>
  <si>
    <t xml:space="preserve">Confidence model defined</t>
  </si>
  <si>
    <t xml:space="preserve">Recommended action</t>
  </si>
  <si>
    <t xml:space="preserve">Decision context</t>
  </si>
  <si>
    <t xml:space="preserve">W07 Opportunity; underlying action supplies meaning</t>
  </si>
  <si>
    <t xml:space="preserve">D29 Confidence Growth Opportunity</t>
  </si>
  <si>
    <t xml:space="preserve">Context-dependent</t>
  </si>
  <si>
    <t xml:space="preserve">Outcome learned</t>
  </si>
  <si>
    <t xml:space="preserve">Journey only if material</t>
  </si>
  <si>
    <t xml:space="preserve">No reward from score itself</t>
  </si>
  <si>
    <t xml:space="preserve">Confidence score must not substitute for human Weight meaning.</t>
  </si>
  <si>
    <t xml:space="preserve">F10-E2E-031</t>
  </si>
  <si>
    <t xml:space="preserve">Milestone opportunity</t>
  </si>
  <si>
    <t xml:space="preserve">Milestone distance &lt;10%</t>
  </si>
  <si>
    <t xml:space="preserve">Milestone and action available</t>
  </si>
  <si>
    <t xml:space="preserve">Final action to milestone</t>
  </si>
  <si>
    <t xml:space="preserve">Mission/goal state</t>
  </si>
  <si>
    <t xml:space="preserve">W07 Opportunity; milestone context supplies W10/W09/W01 etc.</t>
  </si>
  <si>
    <t xml:space="preserve">D30 Future Milestone Opportunity</t>
  </si>
  <si>
    <t xml:space="preserve">Target mission/goal</t>
  </si>
  <si>
    <t xml:space="preserve">ALIGNED if action taken</t>
  </si>
  <si>
    <t xml:space="preserve">Milestone outcome learned</t>
  </si>
  <si>
    <t xml:space="preserve">Journey likely if significance gate passes</t>
  </si>
  <si>
    <t xml:space="preserve">Reward if verified milestone qualifies</t>
  </si>
  <si>
    <t xml:space="preserve">F10-E2E-032</t>
  </si>
  <si>
    <t xml:space="preserve">Special transaction</t>
  </si>
  <si>
    <t xml:space="preserve">Internal transfer pair must not double count</t>
  </si>
  <si>
    <t xml:space="preserve">Two account legs identified as same user movement</t>
  </si>
  <si>
    <t xml:space="preserve">Savings → investment transfer ₹50k</t>
  </si>
  <si>
    <t xml:space="preserve">Transfer / Internal</t>
  </si>
  <si>
    <t xml:space="preserve">OBSERVE raw legs; normalized event may be WEIGHT if meaning known</t>
  </si>
  <si>
    <t xml:space="preserve">No duplicate event weights</t>
  </si>
  <si>
    <t xml:space="preserve">No duplicate D-code from both legs</t>
  </si>
  <si>
    <t xml:space="preserve">Mission contribution only if linked normalized movement</t>
  </si>
  <si>
    <t xml:space="preserve">No mode inference</t>
  </si>
  <si>
    <t xml:space="preserve">Pattern uses normalized event</t>
  </si>
  <si>
    <t xml:space="preserve">No duplicate Journey</t>
  </si>
  <si>
    <t xml:space="preserve">No duplicate reward</t>
  </si>
  <si>
    <t xml:space="preserve">Transaction context APIs</t>
  </si>
  <si>
    <t xml:space="preserve">NORMALIZED_FINANCIAL_EVENT_CREATED</t>
  </si>
  <si>
    <t xml:space="preserve">Single composed movement in UI where applicable</t>
  </si>
  <si>
    <t xml:space="preserve">Yes</t>
  </si>
  <si>
    <t xml:space="preserve">Pairing/dedupe key</t>
  </si>
  <si>
    <t xml:space="preserve">Double counting prohibited across evidence, mission progress and rewards.</t>
  </si>
  <si>
    <t xml:space="preserve">F10-E2E-033</t>
  </si>
  <si>
    <t xml:space="preserve">Refund changes original purchase outcome context</t>
  </si>
  <si>
    <t xml:space="preserve">Original purchase exists; refund linked</t>
  </si>
  <si>
    <t xml:space="preserve">₹4,200 refund to Zara purchase</t>
  </si>
  <si>
    <t xml:space="preserve">Refund</t>
  </si>
  <si>
    <t xml:space="preserve">OBSERVE as separate human-choice event; update original outcome</t>
  </si>
  <si>
    <t xml:space="preserve">Do not fabricate new weight</t>
  </si>
  <si>
    <t xml:space="preserve">Reevaluate linked decision evidence if material</t>
  </si>
  <si>
    <t xml:space="preserve">Mission alignment may improve if conflict removed</t>
  </si>
  <si>
    <t xml:space="preserve">No mode required</t>
  </si>
  <si>
    <t xml:space="preserve">Outcome learning updated</t>
  </si>
  <si>
    <t xml:space="preserve">Journey only if material pattern/outcome change</t>
  </si>
  <si>
    <t xml:space="preserve">Reverse/avoid duplicate reward if original award affected</t>
  </si>
  <si>
    <t xml:space="preserve">REFUND_LINKED / outcome recompute</t>
  </si>
  <si>
    <t xml:space="preserve">Original context refreshed</t>
  </si>
  <si>
    <t xml:space="preserve">Refund linkage</t>
  </si>
  <si>
    <t xml:space="preserve">Refund is outcome context, not automatically a new financial decision.</t>
  </si>
  <si>
    <t xml:space="preserve">F10-E2E-034</t>
  </si>
  <si>
    <t xml:space="preserve">ATM withdrawal with unknown cash usage</t>
  </si>
  <si>
    <t xml:space="preserve">Cash withdrawal detected; no downstream cash detail</t>
  </si>
  <si>
    <t xml:space="preserve">ATM ₹10k</t>
  </si>
  <si>
    <t xml:space="preserve">Cash Withdrawal</t>
  </si>
  <si>
    <t xml:space="preserve">OBSERVE</t>
  </si>
  <si>
    <t xml:space="preserve">No human Weight fabricated</t>
  </si>
  <si>
    <t xml:space="preserve">No direct decision unless separate cashflow trigger</t>
  </si>
  <si>
    <t xml:space="preserve">No mission alignment unless later context</t>
  </si>
  <si>
    <t xml:space="preserve">No mode prompt required</t>
  </si>
  <si>
    <t xml:space="preserve">May contribute only to cash-use uncertainty</t>
  </si>
  <si>
    <t xml:space="preserve">No Journey</t>
  </si>
  <si>
    <t xml:space="preserve">GET /v1/ui/transactions/{id}/context</t>
  </si>
  <si>
    <t xml:space="preserve">GET /v1/ui/transactions/{txn_id}/context</t>
  </si>
  <si>
    <t xml:space="preserve">TRANSACTION_CREATED</t>
  </si>
  <si>
    <t xml:space="preserve">Ready with low-context state</t>
  </si>
  <si>
    <t xml:space="preserve">Unknown use means no inferred Comfort/Identity etc.</t>
  </si>
  <si>
    <t xml:space="preserve">F10-E2E-035</t>
  </si>
  <si>
    <t xml:space="preserve">Unknown P2P transfer remains observed</t>
  </si>
  <si>
    <t xml:space="preserve">PERSON/UNKNOWN entity; purpose unresolved</t>
  </si>
  <si>
    <t xml:space="preserve">₹5,000 to Ravi</t>
  </si>
  <si>
    <t xml:space="preserve">P2P transfer</t>
  </si>
  <si>
    <t xml:space="preserve">No weight until context exists</t>
  </si>
  <si>
    <t xml:space="preserve">No direct decision from purpose assumption</t>
  </si>
  <si>
    <t xml:space="preserve">If later linked to Goa Trip, recompute alignment</t>
  </si>
  <si>
    <t xml:space="preserve">Optional only after context/reflection</t>
  </si>
  <si>
    <t xml:space="preserve">Pattern can improve after user corrections</t>
  </si>
  <si>
    <t xml:space="preserve">No Journey now</t>
  </si>
  <si>
    <t xml:space="preserve">Ready; contextual enrichment affordance</t>
  </si>
  <si>
    <t xml:space="preserve">Do not infer gift/family/loan from recipient alone.</t>
  </si>
  <si>
    <t xml:space="preserve">F10-E2E-036</t>
  </si>
  <si>
    <t xml:space="preserve">Automatic FD sweep-out and sweep-in ignored for Human Weight</t>
  </si>
  <si>
    <t xml:space="preserve">Bank auto-sweep mechanism identified</t>
  </si>
  <si>
    <t xml:space="preserve">Auto FD sweep ₹80k; auto redemption later</t>
  </si>
  <si>
    <t xml:space="preserve">Bank technical sweep</t>
  </si>
  <si>
    <t xml:space="preserve">IGNORE</t>
  </si>
  <si>
    <t xml:space="preserve">No Weight</t>
  </si>
  <si>
    <t xml:space="preserve">No Decision</t>
  </si>
  <si>
    <t xml:space="preserve">No Mission contribution</t>
  </si>
  <si>
    <t xml:space="preserve">None</t>
  </si>
  <si>
    <t xml:space="preserve">No reflection/mode request</t>
  </si>
  <si>
    <t xml:space="preserve">Excluded from behavioral learning</t>
  </si>
  <si>
    <t xml:space="preserve">No Reward</t>
  </si>
  <si>
    <t xml:space="preserve">Ingestion/transaction APIs</t>
  </si>
  <si>
    <t xml:space="preserve">TRANSACTION_NORMALIZED → eligibility stop</t>
  </si>
  <si>
    <t xml:space="preserve">No human-context card</t>
  </si>
  <si>
    <t xml:space="preserve">Sweep pairing/detection</t>
  </si>
  <si>
    <t xml:space="preserve">Deliberately created FD remains separately eligible; auto sweep mechanics do not.</t>
  </si>
  <si>
    <t xml:space="preserve">F10-E2E-037</t>
  </si>
  <si>
    <t xml:space="preserve">Correction</t>
  </si>
  <si>
    <t xml:space="preserve">User corrects transaction category and dependent logic recomputes</t>
  </si>
  <si>
    <t xml:space="preserve">Existing categorized transaction</t>
  </si>
  <si>
    <t xml:space="preserve">Change Amazon from Shopping to Home Improvement</t>
  </si>
  <si>
    <t xml:space="preserve">Effective category corrected; system category retained</t>
  </si>
  <si>
    <t xml:space="preserve">Re-run F2</t>
  </si>
  <si>
    <t xml:space="preserve">Re-run F3; preserve prior inference history</t>
  </si>
  <si>
    <t xml:space="preserve">Affected decisions re-evaluated</t>
  </si>
  <si>
    <t xml:space="preserve">Affected Mission alignment re-evaluated</t>
  </si>
  <si>
    <t xml:space="preserve">Existing mode/reflection retained unless invalid</t>
  </si>
  <si>
    <t xml:space="preserve">Affected F7 patterns recomputed</t>
  </si>
  <si>
    <t xml:space="preserve">Journey only if material learning changes</t>
  </si>
  <si>
    <t xml:space="preserve">Rewards only revalidated if underlying eligibility affected</t>
  </si>
  <si>
    <t xml:space="preserve">TBD explicit category correction API</t>
  </si>
  <si>
    <t xml:space="preserve">TRANSACTION_CATEGORY_CORRECTED</t>
  </si>
  <si>
    <t xml:space="preserve">WRITE_COMMITTED → DERIVED_REFRESH_PENDING</t>
  </si>
  <si>
    <t xml:space="preserve">Idempotent correction command</t>
  </si>
  <si>
    <t xml:space="preserve">F9H-04</t>
  </si>
  <si>
    <t xml:space="preserve">No explicit category correction API/payload yet.</t>
  </si>
  <si>
    <t xml:space="preserve">F10-E2E-038</t>
  </si>
  <si>
    <t xml:space="preserve">User replaces system Weight Comfort with Relationships</t>
  </si>
  <si>
    <t xml:space="preserve">System weight W02 exists</t>
  </si>
  <si>
    <t xml:space="preserve">remove W02; add W06; primary W06</t>
  </si>
  <si>
    <t xml:space="preserve">Category unchanged</t>
  </si>
  <si>
    <t xml:space="preserve">Eligibility unchanged</t>
  </si>
  <si>
    <t xml:space="preserve">System inference retained; effective Weight becomes W06</t>
  </si>
  <si>
    <t xml:space="preserve">Decision context may update</t>
  </si>
  <si>
    <t xml:space="preserve">Mission alignment may update</t>
  </si>
  <si>
    <t xml:space="preserve">Weight feedback recorded separately</t>
  </si>
  <si>
    <t xml:space="preserve">User-specific learning strengthens only for comparable context</t>
  </si>
  <si>
    <t xml:space="preserve">Journey not immediate</t>
  </si>
  <si>
    <t xml:space="preserve">0 M-Points for correction</t>
  </si>
  <si>
    <t xml:space="preserve">WEIGHT_FEEDBACK_RECORDED</t>
  </si>
  <si>
    <t xml:space="preserve">Immediate effective Weight then downstream pending</t>
  </si>
  <si>
    <t xml:space="preserve">Safe retry / event dedupe</t>
  </si>
  <si>
    <t xml:space="preserve">Original F3 prediction not destructively overwritten.</t>
  </si>
  <si>
    <t xml:space="preserve">F10-E2E-039</t>
  </si>
  <si>
    <t xml:space="preserve">Reflection</t>
  </si>
  <si>
    <t xml:space="preserve">Decision reflection enriches context without overwriting canonical inference</t>
  </si>
  <si>
    <t xml:space="preserve">Existing decision</t>
  </si>
  <si>
    <t xml:space="preserve">reflection_text + optional mode + weight feedback</t>
  </si>
  <si>
    <t xml:space="preserve">N/A</t>
  </si>
  <si>
    <t xml:space="preserve">No direct forced reassignment</t>
  </si>
  <si>
    <t xml:space="preserve">Existing Decision</t>
  </si>
  <si>
    <t xml:space="preserve">Linked mission context may be enriched</t>
  </si>
  <si>
    <t xml:space="preserve">Explicit user evidence saved</t>
  </si>
  <si>
    <t xml:space="preserve">F7 consumes as stronger evidence</t>
  </si>
  <si>
    <t xml:space="preserve">Journey only after significance</t>
  </si>
  <si>
    <t xml:space="preserve">0 points for reflection</t>
  </si>
  <si>
    <t xml:space="preserve">POST /v1/decisions/{decision_id}/reflection</t>
  </si>
  <si>
    <t xml:space="preserve">REFLECTION_SUBMITTED</t>
  </si>
  <si>
    <t xml:space="preserve">Success transient</t>
  </si>
  <si>
    <t xml:space="preserve">Atomicity per implementation</t>
  </si>
  <si>
    <t xml:space="preserve">F9H-09</t>
  </si>
  <si>
    <t xml:space="preserve">Atomic write boundary not confirmed for combined feedback.</t>
  </si>
  <si>
    <t xml:space="preserve">F10-E2E-040</t>
  </si>
  <si>
    <t xml:space="preserve">Decision lifecycle</t>
  </si>
  <si>
    <t xml:space="preserve">Accepting a Decision does not earn reward</t>
  </si>
  <si>
    <t xml:space="preserve">Active Decision</t>
  </si>
  <si>
    <t xml:space="preserve">action=ACCEPT</t>
  </si>
  <si>
    <t xml:space="preserve">ACTIVE → ACCEPTED</t>
  </si>
  <si>
    <t xml:space="preserve">Linked Mission remains separate</t>
  </si>
  <si>
    <t xml:space="preserve">No automatic alignment completion</t>
  </si>
  <si>
    <t xml:space="preserve">Optional later</t>
  </si>
  <si>
    <t xml:space="preserve">Behavioral evidence only</t>
  </si>
  <si>
    <t xml:space="preserve">No Journey solely on accept</t>
  </si>
  <si>
    <t xml:space="preserve">0 points</t>
  </si>
  <si>
    <t xml:space="preserve">POST /v1/decisions/{decision_id}/actions</t>
  </si>
  <si>
    <t xml:space="preserve">DECISION_ACCEPTED</t>
  </si>
  <si>
    <t xml:space="preserve">WRITE_COMMITTED</t>
  </si>
  <si>
    <t xml:space="preserve">Acceptance is intent/action commitment, not verified outcome.</t>
  </si>
  <si>
    <t xml:space="preserve">F10-E2E-041</t>
  </si>
  <si>
    <t xml:space="preserve">Completing Decision starts outcome evaluation</t>
  </si>
  <si>
    <t xml:space="preserve">Accepted Decision with completion evidence</t>
  </si>
  <si>
    <t xml:space="preserve">Complete action (contract currently lifecycle command set unresolved)</t>
  </si>
  <si>
    <t xml:space="preserve">ACCEPTED → COMPLETED</t>
  </si>
  <si>
    <t xml:space="preserve">Linked Mission may progress based on evidence</t>
  </si>
  <si>
    <t xml:space="preserve">Re-evaluate if linked</t>
  </si>
  <si>
    <t xml:space="preserve">Outcome observation starts</t>
  </si>
  <si>
    <t xml:space="preserve">Possible Journey after significance</t>
  </si>
  <si>
    <t xml:space="preserve">Reward eligibility evaluated only on verified progress</t>
  </si>
  <si>
    <t xml:space="preserve">Decision action API</t>
  </si>
  <si>
    <t xml:space="preserve">DECISION_COMPLETED</t>
  </si>
  <si>
    <t xml:space="preserve">Completed then derived refresh pending</t>
  </si>
  <si>
    <t xml:space="preserve">Ordering + idempotency</t>
  </si>
  <si>
    <t xml:space="preserve">F9H-02</t>
  </si>
  <si>
    <t xml:space="preserve">Final complete/dismiss command set must be frozen.</t>
  </si>
  <si>
    <t xml:space="preserve">F10-E2E-042</t>
  </si>
  <si>
    <t xml:space="preserve">Mission</t>
  </si>
  <si>
    <t xml:space="preserve">Create Emergency Fund Mission</t>
  </si>
  <si>
    <t xml:space="preserve">Authenticated user; mission schema available</t>
  </si>
  <si>
    <t xml:space="preserve">SAFETY / EMERGENCY_BUFFER / ₹600k / target date</t>
  </si>
  <si>
    <t xml:space="preserve">Mission Weight: W09 Resilience primary; W03/W04/W06 context</t>
  </si>
  <si>
    <t xml:space="preserve">D14/D28 may later link</t>
  </si>
  <si>
    <t xml:space="preserve">Mission created</t>
  </si>
  <si>
    <t xml:space="preserve">Baseline alignment initialized</t>
  </si>
  <si>
    <t xml:space="preserve">No reflection required</t>
  </si>
  <si>
    <t xml:space="preserve">F7 mission learning scope initialized</t>
  </si>
  <si>
    <t xml:space="preserve">No Journey merely for creation</t>
  </si>
  <si>
    <t xml:space="preserve">0 points for creation</t>
  </si>
  <si>
    <t xml:space="preserve">POST /v1/missions</t>
  </si>
  <si>
    <t xml:space="preserve">MISSION_CREATED</t>
  </si>
  <si>
    <t xml:space="preserve">SUBMITTING → WRITE_COMMITTED → READY</t>
  </si>
  <si>
    <t xml:space="preserve">Idempotency key</t>
  </si>
  <si>
    <t xml:space="preserve">Mission category does not mechanically equal Weight; system infers with provenance.</t>
  </si>
  <si>
    <t xml:space="preserve">F10-E2E-043</t>
  </si>
  <si>
    <t xml:space="preserve">Record verified Mission contribution</t>
  </si>
  <si>
    <t xml:space="preserve">Active mission</t>
  </si>
  <si>
    <t xml:space="preserve">₹25,000 contribution</t>
  </si>
  <si>
    <t xml:space="preserve">Contribution event may carry mission-aligned Weight context</t>
  </si>
  <si>
    <t xml:space="preserve">D14/D28 may close/progress</t>
  </si>
  <si>
    <t xml:space="preserve">Progress increases</t>
  </si>
  <si>
    <t xml:space="preserve">Outcome/alignment learning updated</t>
  </si>
  <si>
    <t xml:space="preserve">Possible Journey on milestone/significance</t>
  </si>
  <si>
    <t xml:space="preserve">5 points routine contribution or milestone points per F8; precedence prevents double count</t>
  </si>
  <si>
    <t xml:space="preserve">MISSING canonical contribution API</t>
  </si>
  <si>
    <t xml:space="preserve">MISSION_CONTRIBUTION_RECORDED</t>
  </si>
  <si>
    <t xml:space="preserve">WRITE_COMMITTED → mission/learning/reward pending</t>
  </si>
  <si>
    <t xml:space="preserve">Idempotency mandatory</t>
  </si>
  <si>
    <t xml:space="preserve">Strongest blocked E2E path; must add contribution command and reward authority.</t>
  </si>
  <si>
    <t xml:space="preserve">F10-E2E-044</t>
  </si>
  <si>
    <t xml:space="preserve">Learning/Journey</t>
  </si>
  <si>
    <t xml:space="preserve">Established Comfort↔Resilience conflict weakens across 3 cycles</t>
  </si>
  <si>
    <t xml:space="preserve">F7 conflict ESTABLISHED; comparable contexts exist</t>
  </si>
  <si>
    <t xml:space="preserve">Three salary cycles show fewer conflicting discretionary events and stronger safety contributions</t>
  </si>
  <si>
    <t xml:space="preserve">Pattern-level weights only</t>
  </si>
  <si>
    <t xml:space="preserve">Linked decisions/outcomes provide evidence</t>
  </si>
  <si>
    <t xml:space="preserve">Safety mission alignment strengthens</t>
  </si>
  <si>
    <t xml:space="preserve">TENSION → SUPPORTIVE/ALIGNED trend</t>
  </si>
  <si>
    <t xml:space="preserve">Modes/reflections may support but are not required</t>
  </si>
  <si>
    <t xml:space="preserve">Conflict WEAKENING; confidence high</t>
  </si>
  <si>
    <t xml:space="preserve">Journey candidate admitted only if significance gate passes</t>
  </si>
  <si>
    <t xml:space="preserve">25 points only if F8 established-conflict-weakening rule and ledger authority approve</t>
  </si>
  <si>
    <t xml:space="preserve">GET /v1/ui/journey; learning engine internal</t>
  </si>
  <si>
    <t xml:space="preserve">LEARNING_SIGNAL_WEAKENED → JOURNEY_EVENT_ADMITTED</t>
  </si>
  <si>
    <t xml:space="preserve">DERIVED_REFRESH_PENDING → READY</t>
  </si>
  <si>
    <t xml:space="preserve">Learning signal dedupe</t>
  </si>
  <si>
    <t xml:space="preserve">Journey functional assertion ready; point assertion blocked.</t>
  </si>
  <si>
    <t xml:space="preserve">F10-E2E-045</t>
  </si>
  <si>
    <t xml:space="preserve">Rewards</t>
  </si>
  <si>
    <t xml:space="preserve">Emergency buffer crosses 3-month milestone post reward_start_at</t>
  </si>
  <si>
    <t xml:space="preserve">Baseline 2.7 months after onboarding; new verified contribution</t>
  </si>
  <si>
    <t xml:space="preserve">Coverage reaches 3.0 months</t>
  </si>
  <si>
    <t xml:space="preserve">W09 Resilience</t>
  </si>
  <si>
    <t xml:space="preserve">Possible D1 completion/outcome</t>
  </si>
  <si>
    <t xml:space="preserve">Emergency Fund mission progresses</t>
  </si>
  <si>
    <t xml:space="preserve">Positive outcome established</t>
  </si>
  <si>
    <t xml:space="preserve">Journey milestone admitted if significant</t>
  </si>
  <si>
    <t xml:space="preserve">+50 M-Points once; no duplicate award</t>
  </si>
  <si>
    <t xml:space="preserve">GET /v1/ui/rewards; reward engine internal</t>
  </si>
  <si>
    <t xml:space="preserve">REWARD_ELIGIBILITY_DETECTED → REWARD_AWARDED</t>
  </si>
  <si>
    <t xml:space="preserve">Rewards balance refresh after award</t>
  </si>
  <si>
    <t xml:space="preserve">Reward idempotency / precedence</t>
  </si>
  <si>
    <t xml:space="preserve">Expected 50 points per F8, but production source of truth ledger must be selected.</t>
  </si>
  <si>
    <t xml:space="preserve">F10-E2E-046</t>
  </si>
  <si>
    <t xml:space="preserve">Duplicate signals from same underlying event must not stack rewards</t>
  </si>
  <si>
    <t xml:space="preserve">One EF contribution triggers decision completion + mission milestone + journey event</t>
  </si>
  <si>
    <t xml:space="preserve">Single ₹30k contribution</t>
  </si>
  <si>
    <t xml:space="preserve">Multiple semantic signals may exist</t>
  </si>
  <si>
    <t xml:space="preserve">Decision/Mission/Outcome linked</t>
  </si>
  <si>
    <t xml:space="preserve">Milestone reached</t>
  </si>
  <si>
    <t xml:space="preserve">Multiple derived signals</t>
  </si>
  <si>
    <t xml:space="preserve">Journey may show one event</t>
  </si>
  <si>
    <t xml:space="preserve">Apply precedence: Major Outcome &gt; Mission Milestone &gt; Behavioral Shift &gt; Decision Completion &gt; Routine Action</t>
  </si>
  <si>
    <t xml:space="preserve">Reward engine internal</t>
  </si>
  <si>
    <t xml:space="preserve">Multiple eligibility signals → one award</t>
  </si>
  <si>
    <t xml:space="preserve">Single reward card/ledger entry</t>
  </si>
  <si>
    <t xml:space="preserve">Underlying evidence key</t>
  </si>
  <si>
    <t xml:space="preserve">No reward double counting across engines.</t>
  </si>
  <si>
    <t xml:space="preserve">F10-E2E-047</t>
  </si>
  <si>
    <t xml:space="preserve">Resilience</t>
  </si>
  <si>
    <t xml:space="preserve">Downstream F7 failure must not roll back committed Weight correction</t>
  </si>
  <si>
    <t xml:space="preserve">Weight correction write succeeds; learning service unavailable</t>
  </si>
  <si>
    <t xml:space="preserve">User replaces W02 with W06</t>
  </si>
  <si>
    <t xml:space="preserve">Unchanged</t>
  </si>
  <si>
    <t xml:space="preserve">Effective W06 committed</t>
  </si>
  <si>
    <t xml:space="preserve">Decision may remain temporarily stale</t>
  </si>
  <si>
    <t xml:space="preserve">Mission may remain temporarily stale</t>
  </si>
  <si>
    <t xml:space="preserve">Feedback committed</t>
  </si>
  <si>
    <t xml:space="preserve">F7 retry pending</t>
  </si>
  <si>
    <t xml:space="preserve">No premature Journey update</t>
  </si>
  <si>
    <t xml:space="preserve">No reward impact</t>
  </si>
  <si>
    <t xml:space="preserve">POST context-feedback</t>
  </si>
  <si>
    <t xml:space="preserve">WEIGHT_FEEDBACK_RECORDED; downstream retry</t>
  </si>
  <si>
    <t xml:space="preserve">WRITE_COMMITTED + DERIVED_REFRESH_PENDING/DEGRADED</t>
  </si>
  <si>
    <t xml:space="preserve">Event retry</t>
  </si>
  <si>
    <t xml:space="preserve">Canonical user write remains valid; UI does not fake learning update.</t>
  </si>
  <si>
    <t xml:space="preserve">F10-E2E-048</t>
  </si>
  <si>
    <t xml:space="preserve">Offline/idempotency</t>
  </si>
  <si>
    <t xml:space="preserve">Retry-safe manual transaction after network timeout</t>
  </si>
  <si>
    <t xml:space="preserve">Client submits with idempotency key; response lost</t>
  </si>
  <si>
    <t xml:space="preserve">Manual grocery transaction</t>
  </si>
  <si>
    <t xml:space="preserve">Food/Groceries</t>
  </si>
  <si>
    <t xml:space="preserve">W04/W02 depending context</t>
  </si>
  <si>
    <t xml:space="preserve">Potential none</t>
  </si>
  <si>
    <t xml:space="preserve">Optional mission context</t>
  </si>
  <si>
    <t xml:space="preserve">Normal</t>
  </si>
  <si>
    <t xml:space="preserve">No immediate Journey</t>
  </si>
  <si>
    <t xml:space="preserve">POST /v1/transactions/manual</t>
  </si>
  <si>
    <t xml:space="preserve">TRANSACTION_CREATED once</t>
  </si>
  <si>
    <t xml:space="preserve">SUBMITTING → network error → retry → one WRITE_COMMITTED</t>
  </si>
  <si>
    <t xml:space="preserve">Idempotency key mandatory</t>
  </si>
  <si>
    <t xml:space="preserve">F9H-08</t>
  </si>
  <si>
    <t xml:space="preserve">Per-command offline queue/retry policy not frozen.</t>
  </si>
  <si>
    <t xml:space="preserve">F10-E2E-049</t>
  </si>
  <si>
    <t xml:space="preserve">UI state</t>
  </si>
  <si>
    <t xml:space="preserve">Stale Journey cache while F7 recomputation pending</t>
  </si>
  <si>
    <t xml:space="preserve">Last-known Journey data exists; new learning pending</t>
  </si>
  <si>
    <t xml:space="preserve">Open Journey screen</t>
  </si>
  <si>
    <t xml:space="preserve">F7 update pending</t>
  </si>
  <si>
    <t xml:space="preserve">Show stale/last-updated cue; do not claim current transformation</t>
  </si>
  <si>
    <t xml:space="preserve">Rewards unchanged until own engine completes</t>
  </si>
  <si>
    <t xml:space="preserve">GET /v1/ui/journey</t>
  </si>
  <si>
    <t xml:space="preserve">Read-model invalidation pending</t>
  </si>
  <si>
    <t xml:space="preserve">STALE/DERIVED_REFRESH_PENDING → READY</t>
  </si>
  <si>
    <t xml:space="preserve">Read cache version</t>
  </si>
  <si>
    <t xml:space="preserve">Derived intelligence never shown as updated before owning engine completes.</t>
  </si>
  <si>
    <t xml:space="preserve">F10-E2E-050</t>
  </si>
  <si>
    <t xml:space="preserve">Import resilience</t>
  </si>
  <si>
    <t xml:space="preserve">Statement import fails then retries safely</t>
  </si>
  <si>
    <t xml:space="preserve">Supported file uploaded; parser transient failure</t>
  </si>
  <si>
    <t xml:space="preserve">HDFC PDF import</t>
  </si>
  <si>
    <t xml:space="preserve">No F2 until canonical transactions exist</t>
  </si>
  <si>
    <t xml:space="preserve">No weights until import succeeds</t>
  </si>
  <si>
    <t xml:space="preserve">No decisions yet</t>
  </si>
  <si>
    <t xml:space="preserve">No missions affected yet</t>
  </si>
  <si>
    <t xml:space="preserve">No rewards</t>
  </si>
  <si>
    <t xml:space="preserve">POST /v1/imports; POST /v1/imports/{id}/retry</t>
  </si>
  <si>
    <t xml:space="preserve">IMPORT_FAILED → IMPORT_RETRIED → HISTORICAL_IMPORT_COMPLETED</t>
  </si>
  <si>
    <t xml:space="preserve">ERROR/RETRY → LOADING → READY</t>
  </si>
  <si>
    <t xml:space="preserve">Import_id reuse / no duplicate rows</t>
  </si>
  <si>
    <t xml:space="preserve">Failed imports cannot partially create duplicate transaction history.</t>
  </si>
  <si>
    <t xml:space="preserve">D1–D30 Decision Coverage</t>
  </si>
  <si>
    <t xml:space="preserve">One positive trigger and one guard assertion for every authoritative decision. This supplements scenario-level E2E coverage.</t>
  </si>
  <si>
    <t xml:space="preserve">Decision</t>
  </si>
  <si>
    <t xml:space="preserve">Name</t>
  </si>
  <si>
    <t xml:space="preserve">Positive Trigger</t>
  </si>
  <si>
    <t xml:space="preserve">Typical Decision Weight Prior</t>
  </si>
  <si>
    <t xml:space="preserve">Negative / Guard Assertion</t>
  </si>
  <si>
    <t xml:space="preserve">Primary F10 Scenario</t>
  </si>
  <si>
    <t xml:space="preserve">Blocker</t>
  </si>
  <si>
    <t xml:space="preserve">D1</t>
  </si>
  <si>
    <t xml:space="preserve">Emergency Fund Allocation</t>
  </si>
  <si>
    <t xml:space="preserve">EF coverage &lt;3 months AND surplus &gt;10% income</t>
  </si>
  <si>
    <t xml:space="preserve">Resilience; Risk</t>
  </si>
  <si>
    <t xml:space="preserve">Verify threshold and allocation recommendation; no trigger if surplus condition fails</t>
  </si>
  <si>
    <t xml:space="preserve">D2</t>
  </si>
  <si>
    <t xml:space="preserve">Cash Buffer Top-Up</t>
  </si>
  <si>
    <t xml:space="preserve">Liquid cash &lt;30 days expense</t>
  </si>
  <si>
    <t xml:space="preserve">No trigger when 30-day liquidity already covered</t>
  </si>
  <si>
    <t xml:space="preserve">D3</t>
  </si>
  <si>
    <t xml:space="preserve">Credit Card Payment</t>
  </si>
  <si>
    <t xml:space="preserve">Due date &lt;7 days AND outstanding &gt;0</t>
  </si>
  <si>
    <t xml:space="preserve">Obligations; Risk</t>
  </si>
  <si>
    <t xml:space="preserve">No trigger with zero outstanding</t>
  </si>
  <si>
    <t xml:space="preserve">D4</t>
  </si>
  <si>
    <t xml:space="preserve">Loan EMI Protection</t>
  </si>
  <si>
    <t xml:space="preserve">Projected cash &lt; EMI×1.2</t>
  </si>
  <si>
    <t xml:space="preserve">Obligations; Resilience; Risk</t>
  </si>
  <si>
    <t xml:space="preserve">No trigger when projected cash &gt;= threshold</t>
  </si>
  <si>
    <t xml:space="preserve">D5</t>
  </si>
  <si>
    <t xml:space="preserve">Insurance Renewal</t>
  </si>
  <si>
    <t xml:space="preserve">Policy expiry &lt;30 days</t>
  </si>
  <si>
    <t xml:space="preserve">No trigger for non-expiring policy</t>
  </si>
  <si>
    <t xml:space="preserve">D6</t>
  </si>
  <si>
    <t xml:space="preserve">Insurance Coverage Gap</t>
  </si>
  <si>
    <t xml:space="preserve">No health/term insurance OR coverage &lt; annual income</t>
  </si>
  <si>
    <t xml:space="preserve">Risk; Resilience</t>
  </si>
  <si>
    <t xml:space="preserve">Relationships only with dependant context</t>
  </si>
  <si>
    <t xml:space="preserve">D7</t>
  </si>
  <si>
    <t xml:space="preserve">Idle Cash Deployment</t>
  </si>
  <si>
    <t xml:space="preserve">Opportunity</t>
  </si>
  <si>
    <t xml:space="preserve">Do not deploy if liquidity needs contradict</t>
  </si>
  <si>
    <t xml:space="preserve">D8</t>
  </si>
  <si>
    <t xml:space="preserve">Income Surplus Allocation</t>
  </si>
  <si>
    <t xml:space="preserve">Surplus &gt;10% monthly income</t>
  </si>
  <si>
    <t xml:space="preserve">Opportunity; Resilience</t>
  </si>
  <si>
    <t xml:space="preserve">No trigger below surplus threshold</t>
  </si>
  <si>
    <t xml:space="preserve">D9</t>
  </si>
  <si>
    <t xml:space="preserve">Recurring Review</t>
  </si>
  <si>
    <t xml:space="preserve">Recurring costs increase &gt;10% MoM</t>
  </si>
  <si>
    <t xml:space="preserve">Attention; Obligations</t>
  </si>
  <si>
    <t xml:space="preserve">Auto-pay is Attention evidence, not Identity</t>
  </si>
  <si>
    <t xml:space="preserve">D10</t>
  </si>
  <si>
    <t xml:space="preserve">Expense Spike Review</t>
  </si>
  <si>
    <t xml:space="preserve">Category &gt; historical avg +25%</t>
  </si>
  <si>
    <t xml:space="preserve">Spike not morally labeled; category purpose matters</t>
  </si>
  <si>
    <t xml:space="preserve">D11</t>
  </si>
  <si>
    <t xml:space="preserve">Large Expense Warning</t>
  </si>
  <si>
    <t xml:space="preserve">Requires dated upcoming expense evidence</t>
  </si>
  <si>
    <t xml:space="preserve">D12</t>
  </si>
  <si>
    <t xml:space="preserve">Cash Crunch Forecast</t>
  </si>
  <si>
    <t xml:space="preserve">Projected balance &lt; upcoming obligations (30d)</t>
  </si>
  <si>
    <t xml:space="preserve">Resilience; Risk; Obligations</t>
  </si>
  <si>
    <t xml:space="preserve">Projection not same as completed transaction</t>
  </si>
  <si>
    <t xml:space="preserve">D13</t>
  </si>
  <si>
    <t xml:space="preserve">Increase Monthly Savings</t>
  </si>
  <si>
    <t xml:space="preserve">Savings rate &lt;20% income</t>
  </si>
  <si>
    <t xml:space="preserve">Resilience; Opportunity</t>
  </si>
  <si>
    <t xml:space="preserve">No trigger at/above threshold</t>
  </si>
  <si>
    <t xml:space="preserve">D14</t>
  </si>
  <si>
    <t xml:space="preserve">Savings Goal Contribution</t>
  </si>
  <si>
    <t xml:space="preserve">Mission progress &gt;10% behind</t>
  </si>
  <si>
    <t xml:space="preserve">Opportunity + mission context</t>
  </si>
  <si>
    <t xml:space="preserve">Mission contribution API currently blocked</t>
  </si>
  <si>
    <t xml:space="preserve">D15</t>
  </si>
  <si>
    <t xml:space="preserve">Salary Day Allocation</t>
  </si>
  <si>
    <t xml:space="preserve">Salary credit detected within 48h</t>
  </si>
  <si>
    <t xml:space="preserve">Salary receipt itself no reward</t>
  </si>
  <si>
    <t xml:space="preserve">D16</t>
  </si>
  <si>
    <t xml:space="preserve">Savings Rate Improvement</t>
  </si>
  <si>
    <t xml:space="preserve">Income up &gt;10% OR expense down &gt;10%</t>
  </si>
  <si>
    <t xml:space="preserve">Opportunity only; not yet an outcome</t>
  </si>
  <si>
    <t xml:space="preserve">D17</t>
  </si>
  <si>
    <t xml:space="preserve">Bonus Allocation</t>
  </si>
  <si>
    <t xml:space="preserve">Windfall &gt;15% monthly income</t>
  </si>
  <si>
    <t xml:space="preserve">Bonus receipt no reward</t>
  </si>
  <si>
    <t xml:space="preserve">D18</t>
  </si>
  <si>
    <t xml:space="preserve">SIP Increase</t>
  </si>
  <si>
    <t xml:space="preserve">Surplus &gt;15% AND EF &gt;3 months</t>
  </si>
  <si>
    <t xml:space="preserve">Do not increase if EF criterion fails</t>
  </si>
  <si>
    <t xml:space="preserve">D19</t>
  </si>
  <si>
    <t xml:space="preserve">Idle Cash Investment</t>
  </si>
  <si>
    <t xml:space="preserve">Opportunity; Risk</t>
  </si>
  <si>
    <t xml:space="preserve">Liquidity/risk context required</t>
  </si>
  <si>
    <t xml:space="preserve">D20</t>
  </si>
  <si>
    <t xml:space="preserve">Asset Allocation Drift</t>
  </si>
  <si>
    <t xml:space="preserve">Drift &gt;10% vs target</t>
  </si>
  <si>
    <t xml:space="preserve">Risk; Attention</t>
  </si>
  <si>
    <t xml:space="preserve">No personality labels</t>
  </si>
  <si>
    <t xml:space="preserve">D21</t>
  </si>
  <si>
    <t xml:space="preserve">Investment Goal Funding</t>
  </si>
  <si>
    <t xml:space="preserve">Opportunity + goal context</t>
  </si>
  <si>
    <t xml:space="preserve">Mission/goal meaning drives secondary weights</t>
  </si>
  <si>
    <t xml:space="preserve">D22</t>
  </si>
  <si>
    <t xml:space="preserve">Retirement Contribution Increase</t>
  </si>
  <si>
    <t xml:space="preserve">Legacy; Opportunity</t>
  </si>
  <si>
    <t xml:space="preserve">No direct reward on recommendation</t>
  </si>
  <si>
    <t xml:space="preserve">D23</t>
  </si>
  <si>
    <t xml:space="preserve">Dining Optimization</t>
  </si>
  <si>
    <t xml:space="preserve">Dining &gt;8% income OR &gt;30% historical avg</t>
  </si>
  <si>
    <t xml:space="preserve">Comfort + Resilience context</t>
  </si>
  <si>
    <t xml:space="preserve">No moral judgment</t>
  </si>
  <si>
    <t xml:space="preserve">D24</t>
  </si>
  <si>
    <t xml:space="preserve">Shopping Optimization</t>
  </si>
  <si>
    <t xml:space="preserve">Shopping &gt;10% income OR &gt;40% historical avg</t>
  </si>
  <si>
    <t xml:space="preserve">Comfort; Resilience</t>
  </si>
  <si>
    <t xml:space="preserve">Identity only with high-context evidence</t>
  </si>
  <si>
    <t xml:space="preserve">D25</t>
  </si>
  <si>
    <t xml:space="preserve">Entertainment Review</t>
  </si>
  <si>
    <t xml:space="preserve">No over-tagging</t>
  </si>
  <si>
    <t xml:space="preserve">D26</t>
  </si>
  <si>
    <t xml:space="preserve">Travel Review</t>
  </si>
  <si>
    <t xml:space="preserve">Travel &gt;15% income</t>
  </si>
  <si>
    <t xml:space="preserve">Comfort + Time/Relationships context</t>
  </si>
  <si>
    <t xml:space="preserve">Can be ALIGNED to explicit Travel Mission</t>
  </si>
  <si>
    <t xml:space="preserve">D27</t>
  </si>
  <si>
    <t xml:space="preserve">Discretionary Spend Alert</t>
  </si>
  <si>
    <t xml:space="preserve">&gt;60% discretionary before 50% month</t>
  </si>
  <si>
    <t xml:space="preserve">Temporal pacing evidence required</t>
  </si>
  <si>
    <t xml:space="preserve">D28</t>
  </si>
  <si>
    <t xml:space="preserve">Mission Acceleration</t>
  </si>
  <si>
    <t xml:space="preserve">Mission completion improves &gt;10% from action</t>
  </si>
  <si>
    <t xml:space="preserve">Opportunity + mission weights</t>
  </si>
  <si>
    <t xml:space="preserve">Mission context decisive</t>
  </si>
  <si>
    <t xml:space="preserve">D29</t>
  </si>
  <si>
    <t xml:space="preserve">Confidence Growth Opportunity</t>
  </si>
  <si>
    <t xml:space="preserve">Single action increases Confidence &gt;=3</t>
  </si>
  <si>
    <t xml:space="preserve">Opportunity + underlying action</t>
  </si>
  <si>
    <t xml:space="preserve">Score itself does not define human Weight</t>
  </si>
  <si>
    <t xml:space="preserve">D30</t>
  </si>
  <si>
    <t xml:space="preserve">Future Milestone Opportunity</t>
  </si>
  <si>
    <t xml:space="preserve">Opportunity + milestone context</t>
  </si>
  <si>
    <t xml:space="preserve">Milestone meaning drives secondaries</t>
  </si>
  <si>
    <t xml:space="preserve">Transaction Eligibility &amp; Special-Case Test Matrix</t>
  </si>
  <si>
    <t xml:space="preserve">Focused F2/F3 tests for financial evidence that must be ignored, observed, normalized, or contextualized before Human Weight assignment.</t>
  </si>
  <si>
    <t xml:space="preserve">Case ID</t>
  </si>
  <si>
    <t xml:space="preserve">Financial Event</t>
  </si>
  <si>
    <t xml:space="preserve">Expected F2</t>
  </si>
  <si>
    <t xml:space="preserve">Weight Assignment?</t>
  </si>
  <si>
    <t xml:space="preserve">Decision Impact</t>
  </si>
  <si>
    <t xml:space="preserve">Required Handling</t>
  </si>
  <si>
    <t xml:space="preserve">Reason</t>
  </si>
  <si>
    <t xml:space="preserve">EDGE-01</t>
  </si>
  <si>
    <t xml:space="preserve">Duplicate bank row</t>
  </si>
  <si>
    <t xml:space="preserve">Deduplicate; retain audit if needed</t>
  </si>
  <si>
    <t xml:space="preserve">Prevents double counting</t>
  </si>
  <si>
    <t xml:space="preserve">EDGE-02</t>
  </si>
  <si>
    <t xml:space="preserve">Failed transaction</t>
  </si>
  <si>
    <t xml:space="preserve">IGNORE for completed transaction Weighting</t>
  </si>
  <si>
    <t xml:space="preserve">Operational evidence may remain elsewhere</t>
  </si>
  <si>
    <t xml:space="preserve">No completed financial event</t>
  </si>
  <si>
    <t xml:space="preserve">EDGE-03</t>
  </si>
  <si>
    <t xml:space="preserve">₹1 verification debit</t>
  </si>
  <si>
    <t xml:space="preserve">Retain, no weight</t>
  </si>
  <si>
    <t xml:space="preserve">Low decision meaning</t>
  </si>
  <si>
    <t xml:space="preserve">EDGE-04</t>
  </si>
  <si>
    <t xml:space="preserve">ATM withdrawal unknown use</t>
  </si>
  <si>
    <t xml:space="preserve">Await later context</t>
  </si>
  <si>
    <t xml:space="preserve">Do not invent meaning</t>
  </si>
  <si>
    <t xml:space="preserve">EDGE-05</t>
  </si>
  <si>
    <t xml:space="preserve">Unknown P2P</t>
  </si>
  <si>
    <t xml:space="preserve">May be enriched later</t>
  </si>
  <si>
    <t xml:space="preserve">Recipient alone insufficient</t>
  </si>
  <si>
    <t xml:space="preserve">EDGE-06</t>
  </si>
  <si>
    <t xml:space="preserve">Internal transfer raw legs</t>
  </si>
  <si>
    <t xml:space="preserve">No per raw leg</t>
  </si>
  <si>
    <t xml:space="preserve">No duplicate</t>
  </si>
  <si>
    <t xml:space="preserve">Normalize one movement</t>
  </si>
  <si>
    <t xml:space="preserve">Avoid double counting</t>
  </si>
  <si>
    <t xml:space="preserve">EDGE-07</t>
  </si>
  <si>
    <t xml:space="preserve">OBSERVE / outcome-linked</t>
  </si>
  <si>
    <t xml:space="preserve">No independent default</t>
  </si>
  <si>
    <t xml:space="preserve">Re-evaluate original context</t>
  </si>
  <si>
    <t xml:space="preserve">Link to purchase</t>
  </si>
  <si>
    <t xml:space="preserve">Outcome context</t>
  </si>
  <si>
    <t xml:space="preserve">EDGE-08</t>
  </si>
  <si>
    <t xml:space="preserve">FD auto-sweep out</t>
  </si>
  <si>
    <t xml:space="preserve">Stop Human Weight pipeline</t>
  </si>
  <si>
    <t xml:space="preserve">Bank-generated liquidity mechanics</t>
  </si>
  <si>
    <t xml:space="preserve">EDGE-09</t>
  </si>
  <si>
    <t xml:space="preserve">FD auto-redemption</t>
  </si>
  <si>
    <t xml:space="preserve">EDGE-10</t>
  </si>
  <si>
    <t xml:space="preserve">Deliberate user-created FD</t>
  </si>
  <si>
    <t xml:space="preserve">Possible</t>
  </si>
  <si>
    <t xml:space="preserve">Normal F3 rules</t>
  </si>
  <si>
    <t xml:space="preserve">Intentional user action differs from auto-sweep</t>
  </si>
  <si>
    <t xml:space="preserve">EDGE-11</t>
  </si>
  <si>
    <t xml:space="preserve">Salary credit</t>
  </si>
  <si>
    <t xml:space="preserve">D15 candidate</t>
  </si>
  <si>
    <t xml:space="preserve">Allocation context</t>
  </si>
  <si>
    <t xml:space="preserve">High-leverage decision moment</t>
  </si>
  <si>
    <t xml:space="preserve">EDGE-12</t>
  </si>
  <si>
    <t xml:space="preserve">Loan disbursement</t>
  </si>
  <si>
    <t xml:space="preserve">Potential obligation/liquidity decisions</t>
  </si>
  <si>
    <t xml:space="preserve">Material state change</t>
  </si>
  <si>
    <t xml:space="preserve">Historical Onboarding Acceptance Pack</t>
  </si>
  <si>
    <t xml:space="preserve">Verifies occurred_at vs observed_at, baseline learning, historical achievements, reward_start_at and no retroactive point inflation.</t>
  </si>
  <si>
    <t xml:space="preserve">Test ID</t>
  </si>
  <si>
    <t xml:space="preserve">Area</t>
  </si>
  <si>
    <t xml:space="preserve">Expected Functional Result</t>
  </si>
  <si>
    <t xml:space="preserve">Acceptance Note</t>
  </si>
  <si>
    <t xml:space="preserve">HIST-01</t>
  </si>
  <si>
    <t xml:space="preserve">12-month import</t>
  </si>
  <si>
    <t xml:space="preserve">Transactions retain original occurred_at; observed_at = onboarding/import time</t>
  </si>
  <si>
    <t xml:space="preserve">PASS if timestamps differ correctly</t>
  </si>
  <si>
    <t xml:space="preserve">HIST-02</t>
  </si>
  <si>
    <t xml:space="preserve">Eligibility backfill</t>
  </si>
  <si>
    <t xml:space="preserve">F2 runs on history; only WEIGHT/PROMOTE reach F3</t>
  </si>
  <si>
    <t xml:space="preserve">No manual confirmation required</t>
  </si>
  <si>
    <t xml:space="preserve">HIST-03</t>
  </si>
  <si>
    <t xml:space="preserve">Weight backfill</t>
  </si>
  <si>
    <t xml:space="preserve">F3 assigns historical eligible weights with provenance/version</t>
  </si>
  <si>
    <t xml:space="preserve">No Decision Mode inferred</t>
  </si>
  <si>
    <t xml:space="preserve">HIST-04</t>
  </si>
  <si>
    <t xml:space="preserve">Decision reconstruction</t>
  </si>
  <si>
    <t xml:space="preserve">Historical context may surface patterns/starting decisions but does not fake user acceptance/completion</t>
  </si>
  <si>
    <t xml:space="preserve">Lifecycle integrity</t>
  </si>
  <si>
    <t xml:space="preserve">HIST-05</t>
  </si>
  <si>
    <t xml:space="preserve">Mission baseline</t>
  </si>
  <si>
    <t xml:space="preserve">Existing progress can initialize Mission starting state</t>
  </si>
  <si>
    <t xml:space="preserve">No retroactive contribution rewards</t>
  </si>
  <si>
    <t xml:space="preserve">HIST-06</t>
  </si>
  <si>
    <t xml:space="preserve">F7 learning</t>
  </si>
  <si>
    <t xml:space="preserve">Historical patterns may immediately establish baseline/confidence</t>
  </si>
  <si>
    <t xml:space="preserve">Allowed</t>
  </si>
  <si>
    <t xml:space="preserve">HIST-07</t>
  </si>
  <si>
    <t xml:space="preserve">Journey</t>
  </si>
  <si>
    <t xml:space="preserve">Historical achievements can be shown as “already achieved before joining”</t>
  </si>
  <si>
    <t xml:space="preserve">0 normal M-Points</t>
  </si>
  <si>
    <t xml:space="preserve">HIST-08</t>
  </si>
  <si>
    <t xml:space="preserve">reward_start_at</t>
  </si>
  <si>
    <t xml:space="preserve">Set when baseline established</t>
  </si>
  <si>
    <t xml:space="preserve">Events before timestamp ineligible for normal points</t>
  </si>
  <si>
    <t xml:space="preserve">HIST-09</t>
  </si>
  <si>
    <t xml:space="preserve">Optional baseline recognition</t>
  </si>
  <si>
    <t xml:space="preserve">If enabled, +25 exactly once for Financial Baseline Established</t>
  </si>
  <si>
    <t xml:space="preserve">Never replay past micro-rewards</t>
  </si>
  <si>
    <t xml:space="preserve">HIST-10</t>
  </si>
  <si>
    <t xml:space="preserve">Post-baseline milestone</t>
  </si>
  <si>
    <t xml:space="preserve">New progress after reward_start_at earns normal points</t>
  </si>
  <si>
    <t xml:space="preserve">Example 3.2→6 months EF can qualify for 100-point milestone</t>
  </si>
  <si>
    <t xml:space="preserve">Journey &amp; Rewards Assertions</t>
  </si>
  <si>
    <t xml:space="preserve">Functional separation between significant financial memory and verified progress recognition.</t>
  </si>
  <si>
    <t xml:space="preserve">Assertion ID</t>
  </si>
  <si>
    <t xml:space="preserve">Trigger</t>
  </si>
  <si>
    <t xml:space="preserve">Expected Journey</t>
  </si>
  <si>
    <t xml:space="preserve">Expected M-Points</t>
  </si>
  <si>
    <t xml:space="preserve">Guardrail</t>
  </si>
  <si>
    <t xml:space="preserve">JR-01</t>
  </si>
  <si>
    <t xml:space="preserve">Single Weight assignment</t>
  </si>
  <si>
    <t xml:space="preserve">0</t>
  </si>
  <si>
    <t xml:space="preserve">Weight inference alone is not transformation</t>
  </si>
  <si>
    <t xml:space="preserve">JR-02</t>
  </si>
  <si>
    <t xml:space="preserve">Single Decision acceptance</t>
  </si>
  <si>
    <t xml:space="preserve">Acceptance is not outcome</t>
  </si>
  <si>
    <t xml:space="preserve">JR-03</t>
  </si>
  <si>
    <t xml:space="preserve">Established conflict weakening</t>
  </si>
  <si>
    <t xml:space="preserve">Journey candidate if significance threshold passes</t>
  </si>
  <si>
    <t xml:space="preserve">25 if qualifying F8 rule and reward authority</t>
  </si>
  <si>
    <t xml:space="preserve">Repeated evidence required</t>
  </si>
  <si>
    <t xml:space="preserve">JR-04</t>
  </si>
  <si>
    <t xml:space="preserve">Mission milestone reached</t>
  </si>
  <si>
    <t xml:space="preserve">Journey likely if meaningful</t>
  </si>
  <si>
    <t xml:space="preserve">Declared milestone points</t>
  </si>
  <si>
    <t xml:space="preserve">Underlying evidence must be verified</t>
  </si>
  <si>
    <t xml:space="preserve">JR-05</t>
  </si>
  <si>
    <t xml:space="preserve">3-month emergency buffer</t>
  </si>
  <si>
    <t xml:space="preserve">Journey milestone</t>
  </si>
  <si>
    <t xml:space="preserve">50</t>
  </si>
  <si>
    <t xml:space="preserve">Once only</t>
  </si>
  <si>
    <t xml:space="preserve">JR-06</t>
  </si>
  <si>
    <t xml:space="preserve">6-month emergency buffer</t>
  </si>
  <si>
    <t xml:space="preserve">100</t>
  </si>
  <si>
    <t xml:space="preserve">Maximum single reward class</t>
  </si>
  <si>
    <t xml:space="preserve">JR-07</t>
  </si>
  <si>
    <t xml:space="preserve">Mission completed</t>
  </si>
  <si>
    <t xml:space="preserve">Journey outcome</t>
  </si>
  <si>
    <t xml:space="preserve">75-100 per declared rule class</t>
  </si>
  <si>
    <t xml:space="preserve">Once; no stacking with same evidence</t>
  </si>
  <si>
    <t xml:space="preserve">JR-08</t>
  </si>
  <si>
    <t xml:space="preserve">Reflection completed</t>
  </si>
  <si>
    <t xml:space="preserve">No Journey by itself</t>
  </si>
  <si>
    <t xml:space="preserve">No gamification of reflection</t>
  </si>
  <si>
    <t xml:space="preserve">JR-09</t>
  </si>
  <si>
    <t xml:space="preserve">Weight correction</t>
  </si>
  <si>
    <t xml:space="preserve">Correction is learning evidence</t>
  </si>
  <si>
    <t xml:space="preserve">JR-10</t>
  </si>
  <si>
    <t xml:space="preserve">Historical pre-onboarding milestone</t>
  </si>
  <si>
    <t xml:space="preserve">Historical Journey context allowed</t>
  </si>
  <si>
    <t xml:space="preserve">0 normal</t>
  </si>
  <si>
    <t xml:space="preserve">No retroactive reward inflation</t>
  </si>
  <si>
    <t xml:space="preserve">JR-11</t>
  </si>
  <si>
    <t xml:space="preserve">Multiple signals same contribution</t>
  </si>
  <si>
    <t xml:space="preserve">At most one coherent Journey/achievement representation</t>
  </si>
  <si>
    <t xml:space="preserve">One reward by precedence</t>
  </si>
  <si>
    <t xml:space="preserve">Prevent double counting</t>
  </si>
  <si>
    <t xml:space="preserve">JR-12</t>
  </si>
  <si>
    <t xml:space="preserve">Reward awarded</t>
  </si>
  <si>
    <t xml:space="preserve">Journey may reference achievement</t>
  </si>
  <si>
    <t xml:space="preserve">Ledger-derived balance refresh</t>
  </si>
  <si>
    <t xml:space="preserve">Reward must not modify FPS/Learning/Mission</t>
  </si>
  <si>
    <t xml:space="preserve">API → Event → Recompute → UI Trace</t>
  </si>
  <si>
    <t xml:space="preserve">Implementation trace for the highest-risk state-changing commands. Exact payloads remain governed by F9H.</t>
  </si>
  <si>
    <t xml:space="preserve">Trace ID</t>
  </si>
  <si>
    <t xml:space="preserve">API / Command</t>
  </si>
  <si>
    <t xml:space="preserve">Canonical Object</t>
  </si>
  <si>
    <t xml:space="preserve">Produced Event</t>
  </si>
  <si>
    <t xml:space="preserve">Recomputation</t>
  </si>
  <si>
    <t xml:space="preserve">Read Models Invalidated</t>
  </si>
  <si>
    <t xml:space="preserve">Contract / Issue Ref</t>
  </si>
  <si>
    <t xml:space="preserve">TRACE-01</t>
  </si>
  <si>
    <t xml:space="preserve">Manual Transaction</t>
  </si>
  <si>
    <t xml:space="preserve">Normalize → F2 → F3 → Decisions → F6/F7 as applicable</t>
  </si>
  <si>
    <t xml:space="preserve">Transactions, Live, Decision Context</t>
  </si>
  <si>
    <t xml:space="preserve">F9H-094</t>
  </si>
  <si>
    <t xml:space="preserve">TRACE-02</t>
  </si>
  <si>
    <t xml:space="preserve">Weight Feedback + Mode + Reflection</t>
  </si>
  <si>
    <t xml:space="preserve">WEIGHT_FEEDBACK_RECORDED / DECISION_MODE_UPDATED / REFLECTION_SUBMITTED</t>
  </si>
  <si>
    <t xml:space="preserve">Effective context → F6/F7</t>
  </si>
  <si>
    <t xml:space="preserve">Transaction Context, linked Decision/Mission, later Learning</t>
  </si>
  <si>
    <t xml:space="preserve">F9H-087</t>
  </si>
  <si>
    <t xml:space="preserve">TRACE-03</t>
  </si>
  <si>
    <t xml:space="preserve">DECISION_ACCEPTED / SNOOZED / reminder event</t>
  </si>
  <si>
    <t xml:space="preserve">Lifecycle + F7 evidence; completion behavior pending final action set</t>
  </si>
  <si>
    <t xml:space="preserve">Decision Context</t>
  </si>
  <si>
    <t xml:space="preserve">SUBMITTING → WRITE_COMMITTED</t>
  </si>
  <si>
    <t xml:space="preserve">F9H-085</t>
  </si>
  <si>
    <t xml:space="preserve">TRACE-04</t>
  </si>
  <si>
    <t xml:space="preserve">F7 learning evidence</t>
  </si>
  <si>
    <t xml:space="preserve">Decision reflection/context</t>
  </si>
  <si>
    <t xml:space="preserve">WRITE_COMMITTED → derived pending</t>
  </si>
  <si>
    <t xml:space="preserve">F9H-086</t>
  </si>
  <si>
    <t xml:space="preserve">TRACE-05</t>
  </si>
  <si>
    <t xml:space="preserve">F6 mission weights/alignment baseline → F7 scope</t>
  </si>
  <si>
    <t xml:space="preserve">Missions/Live/Decisions where linked</t>
  </si>
  <si>
    <t xml:space="preserve">F9H-091</t>
  </si>
  <si>
    <t xml:space="preserve">TRACE-06</t>
  </si>
  <si>
    <t xml:space="preserve">POST /v1/missions/{mission_id}/actions</t>
  </si>
  <si>
    <t xml:space="preserve">Mission Lifecycle</t>
  </si>
  <si>
    <t xml:space="preserve">MISSION_ACTIVATED/PAUSED/etc.</t>
  </si>
  <si>
    <t xml:space="preserve">Recompute only semantic effects</t>
  </si>
  <si>
    <t xml:space="preserve">Mission Context</t>
  </si>
  <si>
    <t xml:space="preserve">F9H-092</t>
  </si>
  <si>
    <t xml:space="preserve">TRACE-07</t>
  </si>
  <si>
    <t xml:space="preserve">TBD Mission Contribution API</t>
  </si>
  <si>
    <t xml:space="preserve">Mission Contribution</t>
  </si>
  <si>
    <t xml:space="preserve">Progress → milestone → F6/F7 → Journey → Reward eligibility</t>
  </si>
  <si>
    <t xml:space="preserve">Mission/Journey/Rewards</t>
  </si>
  <si>
    <t xml:space="preserve">Blocked until contract exists</t>
  </si>
  <si>
    <t xml:space="preserve">TRACE-08</t>
  </si>
  <si>
    <t xml:space="preserve">TBD Transaction Category Correction</t>
  </si>
  <si>
    <t xml:space="preserve">Transaction Category Correction</t>
  </si>
  <si>
    <t xml:space="preserve">F2 → F3 → Decisions → F6/F7</t>
  </si>
  <si>
    <t xml:space="preserve">Transaction/Live/Decision/Mission contexts</t>
  </si>
  <si>
    <t xml:space="preserve">TRACE-09</t>
  </si>
  <si>
    <t xml:space="preserve">POST /v1/imports</t>
  </si>
  <si>
    <t xml:space="preserve">Import Session</t>
  </si>
  <si>
    <t xml:space="preserve">IMPORT_STARTED / HISTORICAL_IMPORT_COMPLETED</t>
  </si>
  <si>
    <t xml:space="preserve">Batch normalize → F2/F3 → D1-D30 context → baseline F7</t>
  </si>
  <si>
    <t xml:space="preserve">Onboarding/Transactions/Live</t>
  </si>
  <si>
    <t xml:space="preserve">LOADING → READY</t>
  </si>
  <si>
    <t xml:space="preserve">F9H-089</t>
  </si>
  <si>
    <t xml:space="preserve">TRACE-10</t>
  </si>
  <si>
    <t xml:space="preserve">Reward Engine internal</t>
  </si>
  <si>
    <t xml:space="preserve">Reward Ledger</t>
  </si>
  <si>
    <t xml:space="preserve">REWARD_AWARDED</t>
  </si>
  <si>
    <t xml:space="preserve">Balance/tier read model only</t>
  </si>
  <si>
    <t xml:space="preserve">Negative, Resilience &amp; Failure-Isolation Tests</t>
  </si>
  <si>
    <t xml:space="preserve">Tests that prove Monytix does not invent meaning, duplicate money, roll back valid writes, or surface stale derived intelligence as current.</t>
  </si>
  <si>
    <t xml:space="preserve">Failure / Edge</t>
  </si>
  <si>
    <t xml:space="preserve">Setup</t>
  </si>
  <si>
    <t xml:space="preserve">Expected Result</t>
  </si>
  <si>
    <t xml:space="preserve">Priority / Blocker</t>
  </si>
  <si>
    <t xml:space="preserve">NEG-01</t>
  </si>
  <si>
    <t xml:space="preserve">Duplicate manual transaction retry</t>
  </si>
  <si>
    <t xml:space="preserve">Same idempotency key submitted twice</t>
  </si>
  <si>
    <t xml:space="preserve">One canonical transaction; one event chain; no duplicate reward</t>
  </si>
  <si>
    <t xml:space="preserve">NEG-02</t>
  </si>
  <si>
    <t xml:space="preserve">Duplicate mission contribution retry</t>
  </si>
  <si>
    <t xml:space="preserve">Response lost then retry</t>
  </si>
  <si>
    <t xml:space="preserve">One contribution and one reward evaluation only</t>
  </si>
  <si>
    <t xml:space="preserve">P0 / blocked F9H-03</t>
  </si>
  <si>
    <t xml:space="preserve">NEG-03</t>
  </si>
  <si>
    <t xml:space="preserve">Learning service outage after Weight edit</t>
  </si>
  <si>
    <t xml:space="preserve">F7 unavailable</t>
  </si>
  <si>
    <t xml:space="preserve">Weight correction remains committed; event retries; UI shows derived pending/degraded</t>
  </si>
  <si>
    <t xml:space="preserve">NEG-04</t>
  </si>
  <si>
    <t xml:space="preserve">Reward service outage after Mission milestone</t>
  </si>
  <si>
    <t xml:space="preserve">Reward engine unavailable</t>
  </si>
  <si>
    <t xml:space="preserve">Mission/Journey remain correct; reward retries later; no rollback</t>
  </si>
  <si>
    <t xml:space="preserve">NEG-05</t>
  </si>
  <si>
    <t xml:space="preserve">Stale Journey cache</t>
  </si>
  <si>
    <t xml:space="preserve">Read model stale</t>
  </si>
  <si>
    <t xml:space="preserve">Last-known value labeled stale; no false “current” learning claim</t>
  </si>
  <si>
    <t xml:space="preserve">NEG-06</t>
  </si>
  <si>
    <t xml:space="preserve">Invalid Weight code FUTURE</t>
  </si>
  <si>
    <t xml:space="preserve">Client submits non-canonical value</t>
  </si>
  <si>
    <t xml:space="preserve">400/validation; W01-W10 only</t>
  </si>
  <si>
    <t xml:space="preserve">P0 / blocked F9H-07</t>
  </si>
  <si>
    <t xml:space="preserve">NEG-07</t>
  </si>
  <si>
    <t xml:space="preserve">Manual entry with mismatched subcategory</t>
  </si>
  <si>
    <t xml:space="preserve">subcategory not child of category</t>
  </si>
  <si>
    <t xml:space="preserve">Validation error; no transaction write</t>
  </si>
  <si>
    <t xml:space="preserve">NEG-08</t>
  </si>
  <si>
    <t xml:space="preserve">Decision Mode missing</t>
  </si>
  <si>
    <t xml:space="preserve">No user mode input</t>
  </si>
  <si>
    <t xml:space="preserve">UNKNOWN by absence; never default to Automatic/Avoided</t>
  </si>
  <si>
    <t xml:space="preserve">NEG-09</t>
  </si>
  <si>
    <t xml:space="preserve">Refund unlinked</t>
  </si>
  <si>
    <t xml:space="preserve">Refund cannot be matched</t>
  </si>
  <si>
    <t xml:space="preserve">Remain observed/uncertain; do not create fake prior purchase link</t>
  </si>
  <si>
    <t xml:space="preserve">NEG-10</t>
  </si>
  <si>
    <t xml:space="preserve">Recipient known but purpose unknown</t>
  </si>
  <si>
    <t xml:space="preserve">OBSERVE; no Relationships/Obligations inferred from name alone</t>
  </si>
  <si>
    <t xml:space="preserve">NEG-11</t>
  </si>
  <si>
    <t xml:space="preserve">FD auto-sweep</t>
  </si>
  <si>
    <t xml:space="preserve">Auto sweep detected</t>
  </si>
  <si>
    <t xml:space="preserve">IGNORE for Human Weight; no Journey/Reward</t>
  </si>
  <si>
    <t xml:space="preserve">NEG-12</t>
  </si>
  <si>
    <t xml:space="preserve">Historical pre-baseline milestone</t>
  </si>
  <si>
    <t xml:space="preserve">Occurred before reward_start_at</t>
  </si>
  <si>
    <t xml:space="preserve">0 normal points</t>
  </si>
  <si>
    <t xml:space="preserve">NEG-13</t>
  </si>
  <si>
    <t xml:space="preserve">Decision accepted but not executed</t>
  </si>
  <si>
    <t xml:space="preserve">User accepts then does nothing</t>
  </si>
  <si>
    <t xml:space="preserve">No outcome/progress reward; no Journey of success</t>
  </si>
  <si>
    <t xml:space="preserve">NEG-14</t>
  </si>
  <si>
    <t xml:space="preserve">Atomic context feedback partial failure</t>
  </si>
  <si>
    <t xml:space="preserve">Weight succeeds, reflection fails</t>
  </si>
  <si>
    <t xml:space="preserve">Either atomic rollback or explicit versioned partial response per final policy; never silent mixed state</t>
  </si>
  <si>
    <t xml:space="preserve">P1 / blocked F9H-09</t>
  </si>
  <si>
    <t xml:space="preserve">Canonical Test Data Pack</t>
  </si>
  <si>
    <t xml:space="preserve">Reusable synthetic values for deterministic functional and regression testing. No real user data required.</t>
  </si>
  <si>
    <t xml:space="preserve">Data ID</t>
  </si>
  <si>
    <t xml:space="preserve">Type</t>
  </si>
  <si>
    <t xml:space="preserve">Primary Use</t>
  </si>
  <si>
    <t xml:space="preserve">USER-A</t>
  </si>
  <si>
    <t xml:space="preserve">New user</t>
  </si>
  <si>
    <t xml:space="preserve">Monthly income ₹1,50,000; expense ₹1,05,000; EF 2.5 months; active Emergency Fund Mission</t>
  </si>
  <si>
    <t xml:space="preserve">Core safety/savings scenarios</t>
  </si>
  <si>
    <t xml:space="preserve">USER-B</t>
  </si>
  <si>
    <t xml:space="preserve">Established investor</t>
  </si>
  <si>
    <t xml:space="preserve">Income ₹2,00,000; EF 4 months; surplus 20%; active Retirement Mission</t>
  </si>
  <si>
    <t xml:space="preserve">D18-D22</t>
  </si>
  <si>
    <t xml:space="preserve">USER-C</t>
  </si>
  <si>
    <t xml:space="preserve">High discretionary month</t>
  </si>
  <si>
    <t xml:space="preserve">Income ₹1,20,000; dining 10%; shopping 14%; month 40% complete, discretionary 65% used</t>
  </si>
  <si>
    <t xml:space="preserve">D23-D27</t>
  </si>
  <si>
    <t xml:space="preserve">USER-D</t>
  </si>
  <si>
    <t xml:space="preserve">12 months of transactions; EF already 3.2 months; 10 SIPs; prior debt reduction</t>
  </si>
  <si>
    <t xml:space="preserve">Historical baseline/reward_start_at</t>
  </si>
  <si>
    <t xml:space="preserve">TXN-ZARA</t>
  </si>
  <si>
    <t xml:space="preserve">Manual purchase</t>
  </si>
  <si>
    <t xml:space="preserve">₹4,200; Shopping/Apparel; today</t>
  </si>
  <si>
    <t xml:space="preserve">Weight / D24 context</t>
  </si>
  <si>
    <t xml:space="preserve">TXN-SWIGGY</t>
  </si>
  <si>
    <t xml:space="preserve">Food delivery</t>
  </si>
  <si>
    <t xml:space="preserve">₹850; Dining/Food Delivery; today</t>
  </si>
  <si>
    <t xml:space="preserve">Comfort + Decision Mode</t>
  </si>
  <si>
    <t xml:space="preserve">TXN-SALARY</t>
  </si>
  <si>
    <t xml:space="preserve">₹1,50,000; Income/Salary</t>
  </si>
  <si>
    <t xml:space="preserve">TXN-EMI</t>
  </si>
  <si>
    <t xml:space="preserve">Home loan EMI</t>
  </si>
  <si>
    <t xml:space="preserve">₹48,000; Loan/EMI</t>
  </si>
  <si>
    <t xml:space="preserve">TXN-P2P</t>
  </si>
  <si>
    <t xml:space="preserve">₹5,000 to Ravi; purpose unknown</t>
  </si>
  <si>
    <t xml:space="preserve">TXN-SWEEP</t>
  </si>
  <si>
    <t xml:space="preserve">Auto FD sweep</t>
  </si>
  <si>
    <t xml:space="preserve">₹80,000 automatic sweep</t>
  </si>
  <si>
    <t xml:space="preserve">MIS-EF</t>
  </si>
  <si>
    <t xml:space="preserve">Emergency Fund Mission</t>
  </si>
  <si>
    <t xml:space="preserve">Target ₹6,00,000; current ₹2,50,000; category Safety</t>
  </si>
  <si>
    <t xml:space="preserve">F6/F8</t>
  </si>
  <si>
    <t xml:space="preserve">MIS-RET</t>
  </si>
  <si>
    <t xml:space="preserve">Retirement Mission</t>
  </si>
  <si>
    <t xml:space="preserve">Long-horizon target; category Retirement</t>
  </si>
  <si>
    <t xml:space="preserve">D22 / Legacy</t>
  </si>
  <si>
    <t xml:space="preserve">F10 Exit Criteria</t>
  </si>
  <si>
    <t xml:space="preserve">Conditions required to call the end-to-end functional layer implementation-ready.</t>
  </si>
  <si>
    <t xml:space="preserve">Exit ID</t>
  </si>
  <si>
    <t xml:space="preserve">Criterion</t>
  </si>
  <si>
    <t xml:space="preserve">Pass Condition</t>
  </si>
  <si>
    <t xml:space="preserve">EXIT-01</t>
  </si>
  <si>
    <t xml:space="preserve">All READY P0 scenarios pass</t>
  </si>
  <si>
    <t xml:space="preserve">No critical flow fails across Evidence→F8</t>
  </si>
  <si>
    <t xml:space="preserve">EXIT-02</t>
  </si>
  <si>
    <t xml:space="preserve">All D1-D30 positive triggers validated</t>
  </si>
  <si>
    <t xml:space="preserve">Decision registry coverage complete</t>
  </si>
  <si>
    <t xml:space="preserve">EXIT-03</t>
  </si>
  <si>
    <t xml:space="preserve">All special transaction cases validated</t>
  </si>
  <si>
    <t xml:space="preserve">Internal transfer/refund/ATM/P2P/FD sweep behavior correct</t>
  </si>
  <si>
    <t xml:space="preserve">EXIT-04</t>
  </si>
  <si>
    <t xml:space="preserve">Canonical W01-W10 only</t>
  </si>
  <si>
    <t xml:space="preserve">No FUTURE or partial 8-weight implementation remains</t>
  </si>
  <si>
    <t xml:space="preserve">EXIT-05</t>
  </si>
  <si>
    <t xml:space="preserve">Mission contribution contract implemented</t>
  </si>
  <si>
    <t xml:space="preserve">F9H-03 closed and E2E contribution path passes</t>
  </si>
  <si>
    <t xml:space="preserve">EXIT-06</t>
  </si>
  <si>
    <t xml:space="preserve">Category correction contract implemented</t>
  </si>
  <si>
    <t xml:space="preserve">F9H-04 closed and downstream recomputation passes</t>
  </si>
  <si>
    <t xml:space="preserve">EXIT-07</t>
  </si>
  <si>
    <t xml:space="preserve">Rewards authority frozen</t>
  </si>
  <si>
    <t xml:space="preserve">Single ledger/balance source; no double counting</t>
  </si>
  <si>
    <t xml:space="preserve">EXIT-08</t>
  </si>
  <si>
    <t xml:space="preserve">Decision lifecycle command set frozen</t>
  </si>
  <si>
    <t xml:space="preserve">Accept/snooze/reminder/complete/dismiss semantics resolved</t>
  </si>
  <si>
    <t xml:space="preserve">EXIT-09</t>
  </si>
  <si>
    <t xml:space="preserve">No retroactive normal rewards</t>
  </si>
  <si>
    <t xml:space="preserve">Historical onboarding tests pass</t>
  </si>
  <si>
    <t xml:space="preserve">EXIT-10</t>
  </si>
  <si>
    <t xml:space="preserve">Failure isolation proven</t>
  </si>
  <si>
    <t xml:space="preserve">Canonical writes survive downstream outages</t>
  </si>
  <si>
    <t xml:space="preserve">EXIT-11</t>
  </si>
  <si>
    <t xml:space="preserve">Idempotency proven</t>
  </si>
  <si>
    <t xml:space="preserve">Retries do not duplicate money/progress/rewards</t>
  </si>
  <si>
    <t xml:space="preserve">EXIT-12</t>
  </si>
  <si>
    <t xml:space="preserve">UI state accuracy proven</t>
  </si>
  <si>
    <t xml:space="preserve">No derived intelligence shown as updated before engine completion</t>
  </si>
  <si>
    <t xml:space="preserve">EXIT-13</t>
  </si>
  <si>
    <t xml:space="preserve">Generic nested read models expanded</t>
  </si>
  <si>
    <t xml:space="preserve">Screen payloads exact enough for frontend integration</t>
  </si>
  <si>
    <t xml:space="preserve">EXIT-14</t>
  </si>
  <si>
    <t xml:space="preserve">P1 metrics resolved or removed</t>
  </si>
  <si>
    <t xml:space="preserve">Harmony/Clarity/Awareness semantics not ambiguous</t>
  </si>
  <si>
    <t xml:space="preserve">Open Issues &amp; Blocked F10 Tests</t>
  </si>
  <si>
    <t xml:space="preserve">Direct carry-forward from F9H plus F10-specific testing impact. These are implementation blockers, not hidden assumptions.</t>
  </si>
  <si>
    <t xml:space="preserve">Issue ID</t>
  </si>
  <si>
    <t xml:space="preserve">Issue / Gap</t>
  </si>
  <si>
    <t xml:space="preserve">Blocked / Conditional F10 Scenarios</t>
  </si>
  <si>
    <t xml:space="preserve">Status</t>
  </si>
  <si>
    <t xml:space="preserve">F9H-01</t>
  </si>
  <si>
    <t xml:space="preserve">Generic composed read models</t>
  </si>
  <si>
    <t xml:space="preserve">Nested data schemas incomplete</t>
  </si>
  <si>
    <t xml:space="preserve">OPEN</t>
  </si>
  <si>
    <t xml:space="preserve">Final lifecycle command set not fully frozen</t>
  </si>
  <si>
    <t xml:space="preserve">Mission contribution</t>
  </si>
  <si>
    <t xml:space="preserve">No explicit contribution submit API/payload</t>
  </si>
  <si>
    <t xml:space="preserve">F10-E2E-016, F10-E2E-022, F10-E2E-029, F10-E2E-043</t>
  </si>
  <si>
    <t xml:space="preserve">Transaction category correction</t>
  </si>
  <si>
    <t xml:space="preserve">No explicit correction command/payload</t>
  </si>
  <si>
    <t xml:space="preserve">Rewards authority</t>
  </si>
  <si>
    <t xml:space="preserve">Multiple reward structures; authority unresolved</t>
  </si>
  <si>
    <t xml:space="preserve">F10-E2E-006, F10-E2E-014, F10-E2E-015, F10-E2E-019, F10-E2E-022, F10-E2E-023, F10-E2E-029, F10-E2E-031, F10-E2E-043, F10-E2E-044, F10-E2E-045, F10-E2E-046</t>
  </si>
  <si>
    <t xml:space="preserve">F9H-06</t>
  </si>
  <si>
    <t xml:space="preserve">Undefined UI metrics</t>
  </si>
  <si>
    <t xml:space="preserve">Decision Awareness / Harmony / Clarity semantics unresolved</t>
  </si>
  <si>
    <t xml:space="preserve">Canonical Weight discrepancies</t>
  </si>
  <si>
    <t xml:space="preserve">FUTURE + 8-weight manual-entry mismatch W01-W10</t>
  </si>
  <si>
    <t xml:space="preserve">Offline queued writes</t>
  </si>
  <si>
    <t xml:space="preserve">Per-command queue policy incomplete</t>
  </si>
  <si>
    <t xml:space="preserve">Atomic context feedback</t>
  </si>
  <si>
    <t xml:space="preserve">Atomicity of weight+mode+reflection not confirmed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</si>
</sst>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9"/>
      <color rgb="FF1F4E78"/>
      <name val="Cambria"/>
      <family val="0"/>
      <charset val="1"/>
    </font>
    <font>
      <sz val="9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0F6B78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0F6B78"/>
        <bgColor rgb="FF008080"/>
      </patternFill>
    </fill>
    <fill>
      <patternFill patternType="solid">
        <fgColor rgb="FFE2F0D9"/>
        <bgColor rgb="FFE7E6E6"/>
      </patternFill>
    </fill>
    <fill>
      <patternFill patternType="solid">
        <fgColor rgb="FFF4CC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E7E6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5"/>
    <col collapsed="false" customWidth="true" hidden="false" outlineLevel="0" max="12" min="3" style="1" width="13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33.75" hidden="false" customHeight="true" outlineLevel="0" collapsed="false">
      <c r="A5" s="5" t="s">
        <v>4</v>
      </c>
      <c r="B5" s="6" t="s">
        <v>5</v>
      </c>
    </row>
    <row r="6" customFormat="false" ht="33.75" hidden="false" customHeight="true" outlineLevel="0" collapsed="false">
      <c r="A6" s="5" t="s">
        <v>6</v>
      </c>
      <c r="B6" s="6" t="s">
        <v>7</v>
      </c>
    </row>
    <row r="7" customFormat="false" ht="33.75" hidden="false" customHeight="true" outlineLevel="0" collapsed="false">
      <c r="A7" s="5" t="s">
        <v>8</v>
      </c>
      <c r="B7" s="6" t="s">
        <v>9</v>
      </c>
    </row>
    <row r="8" customFormat="false" ht="33.75" hidden="false" customHeight="true" outlineLevel="0" collapsed="false">
      <c r="A8" s="5" t="s">
        <v>10</v>
      </c>
      <c r="B8" s="6" t="s">
        <v>11</v>
      </c>
    </row>
    <row r="9" customFormat="false" ht="33.75" hidden="false" customHeight="true" outlineLevel="0" collapsed="false">
      <c r="A9" s="5" t="s">
        <v>12</v>
      </c>
      <c r="B9" s="6" t="s">
        <v>13</v>
      </c>
    </row>
    <row r="10" customFormat="false" ht="33.75" hidden="false" customHeight="true" outlineLevel="0" collapsed="false">
      <c r="A10" s="5" t="s">
        <v>14</v>
      </c>
      <c r="B10" s="6" t="s">
        <v>15</v>
      </c>
    </row>
    <row r="12" customFormat="false" ht="15" hidden="false" customHeight="true" outlineLevel="0" collapsed="false">
      <c r="D12" s="7" t="s">
        <v>16</v>
      </c>
      <c r="F12" s="7" t="s">
        <v>17</v>
      </c>
      <c r="H12" s="7" t="s">
        <v>18</v>
      </c>
      <c r="J12" s="7" t="s">
        <v>19</v>
      </c>
    </row>
    <row r="13" customFormat="false" ht="17.25" hidden="false" customHeight="true" outlineLevel="0" collapsed="false">
      <c r="D13" s="8" t="n">
        <f aca="false">COUNTA(01_Master_E2E_Scenarios!A5:A200)</f>
        <v>50</v>
      </c>
      <c r="F13" s="8" t="n">
        <f aca="false">COUNTIF(01_Master_E2E_Scenarios!V5:V200,"READY")</f>
        <v>32</v>
      </c>
      <c r="H13" s="8" t="n">
        <f aca="false">COUNTIF(01_Master_E2E_Scenarios!V5:V200,"BLOCKED")</f>
        <v>18</v>
      </c>
      <c r="J13" s="8" t="n">
        <f aca="false">COUNTA(02_D1_D30_Decision_Coverage!A5:A34)</f>
        <v>30</v>
      </c>
    </row>
    <row r="16" customFormat="false" ht="15" hidden="false" customHeight="true" outlineLevel="0" collapsed="false">
      <c r="A16" s="9" t="s">
        <v>20</v>
      </c>
      <c r="B16" s="10" t="n">
        <f aca="false">COUNTIF(10_Open_Issues_Blocked_Tests!F5:F30,"OPEN")</f>
        <v>9</v>
      </c>
    </row>
    <row r="17" customFormat="false" ht="15" hidden="false" customHeight="true" outlineLevel="0" collapsed="false">
      <c r="A17" s="9" t="s">
        <v>21</v>
      </c>
      <c r="B17" s="10" t="n">
        <f aca="false">COUNTIF(01_Master_E2E_Scenarios!V5:V200,"BLOCKED")</f>
        <v>18</v>
      </c>
    </row>
    <row r="18" customFormat="false" ht="15" hidden="false" customHeight="true" outlineLevel="0" collapsed="false">
      <c r="A18" s="9" t="s">
        <v>22</v>
      </c>
      <c r="B18" s="10" t="n">
        <f aca="false">COUNTA(02_D1_D30_Decision_Coverage!A5:A34)</f>
        <v>30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36"/>
    <col collapsed="false" customWidth="true" hidden="false" outlineLevel="0" max="6" min="5" style="1" width="34"/>
    <col collapsed="false" customWidth="true" hidden="false" outlineLevel="0" max="7" min="7" style="1" width="27"/>
    <col collapsed="false" customWidth="true" hidden="false" outlineLevel="0" max="8" min="8" style="1" width="17"/>
    <col collapsed="false" customWidth="true" hidden="false" outlineLevel="0" max="9" min="9" style="1" width="35"/>
    <col collapsed="false" customWidth="true" hidden="false" outlineLevel="0" max="11" min="10" style="1" width="28"/>
    <col collapsed="false" customWidth="true" hidden="false" outlineLevel="0" max="12" min="12" style="1" width="24"/>
    <col collapsed="false" customWidth="true" hidden="false" outlineLevel="0" max="16" min="13" style="1" width="31"/>
    <col collapsed="false" customWidth="true" hidden="false" outlineLevel="0" max="17" min="17" style="1" width="36"/>
    <col collapsed="false" customWidth="true" hidden="false" outlineLevel="0" max="18" min="18" style="1" width="42"/>
    <col collapsed="false" customWidth="true" hidden="false" outlineLevel="0" max="19" min="19" style="1" width="31"/>
    <col collapsed="false" customWidth="true" hidden="false" outlineLevel="0" max="20" min="20" style="1" width="12"/>
    <col collapsed="false" customWidth="true" hidden="false" outlineLevel="0" max="21" min="21" style="1" width="24"/>
    <col collapsed="false" customWidth="true" hidden="false" outlineLevel="0" max="22" min="22" style="1" width="13"/>
    <col collapsed="false" customWidth="true" hidden="false" outlineLevel="0" max="23" min="23" style="1" width="22"/>
    <col collapsed="false" customWidth="true" hidden="false" outlineLevel="0" max="24" min="24" style="1" width="45"/>
  </cols>
  <sheetData>
    <row r="1" customFormat="false" ht="25.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36</v>
      </c>
      <c r="M4" s="4" t="s">
        <v>37</v>
      </c>
      <c r="N4" s="4" t="s">
        <v>38</v>
      </c>
      <c r="O4" s="4" t="s">
        <v>39</v>
      </c>
      <c r="P4" s="4" t="s">
        <v>40</v>
      </c>
      <c r="Q4" s="4" t="s">
        <v>41</v>
      </c>
      <c r="R4" s="4" t="s">
        <v>42</v>
      </c>
      <c r="S4" s="4" t="s">
        <v>43</v>
      </c>
      <c r="T4" s="4" t="s">
        <v>44</v>
      </c>
      <c r="U4" s="4" t="s">
        <v>45</v>
      </c>
      <c r="V4" s="4" t="s">
        <v>46</v>
      </c>
      <c r="W4" s="4" t="s">
        <v>47</v>
      </c>
      <c r="X4" s="4" t="s">
        <v>48</v>
      </c>
    </row>
    <row r="5" customFormat="false" ht="33.75" hidden="false" customHeight="true" outlineLevel="0" collapsed="false">
      <c r="A5" s="5" t="s">
        <v>49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6" t="s">
        <v>58</v>
      </c>
      <c r="K5" s="6" t="s">
        <v>59</v>
      </c>
      <c r="L5" s="6" t="s">
        <v>60</v>
      </c>
      <c r="M5" s="6" t="s">
        <v>61</v>
      </c>
      <c r="N5" s="6" t="s">
        <v>62</v>
      </c>
      <c r="O5" s="6" t="s">
        <v>63</v>
      </c>
      <c r="P5" s="6" t="s">
        <v>64</v>
      </c>
      <c r="Q5" s="6" t="s">
        <v>65</v>
      </c>
      <c r="R5" s="6" t="s">
        <v>66</v>
      </c>
      <c r="S5" s="6" t="s">
        <v>67</v>
      </c>
      <c r="T5" s="6" t="s">
        <v>68</v>
      </c>
      <c r="U5" s="6" t="s">
        <v>69</v>
      </c>
      <c r="V5" s="11" t="s">
        <v>17</v>
      </c>
      <c r="W5" s="6"/>
      <c r="X5" s="6" t="s">
        <v>70</v>
      </c>
    </row>
    <row r="6" customFormat="false" ht="33.75" hidden="false" customHeight="true" outlineLevel="0" collapsed="false">
      <c r="A6" s="5" t="s">
        <v>71</v>
      </c>
      <c r="B6" s="6" t="s">
        <v>50</v>
      </c>
      <c r="C6" s="6" t="s">
        <v>72</v>
      </c>
      <c r="D6" s="6" t="s">
        <v>73</v>
      </c>
      <c r="E6" s="6" t="s">
        <v>74</v>
      </c>
      <c r="F6" s="6" t="s">
        <v>75</v>
      </c>
      <c r="G6" s="6" t="s">
        <v>76</v>
      </c>
      <c r="H6" s="6" t="s">
        <v>77</v>
      </c>
      <c r="I6" s="6" t="s">
        <v>78</v>
      </c>
      <c r="J6" s="6" t="s">
        <v>79</v>
      </c>
      <c r="K6" s="6" t="s">
        <v>80</v>
      </c>
      <c r="L6" s="6" t="s">
        <v>81</v>
      </c>
      <c r="M6" s="6" t="s">
        <v>82</v>
      </c>
      <c r="N6" s="6" t="s">
        <v>83</v>
      </c>
      <c r="O6" s="6" t="s">
        <v>84</v>
      </c>
      <c r="P6" s="6" t="s">
        <v>85</v>
      </c>
      <c r="Q6" s="6" t="s">
        <v>86</v>
      </c>
      <c r="R6" s="6" t="s">
        <v>87</v>
      </c>
      <c r="S6" s="6" t="s">
        <v>88</v>
      </c>
      <c r="T6" s="6" t="s">
        <v>68</v>
      </c>
      <c r="U6" s="6" t="s">
        <v>89</v>
      </c>
      <c r="V6" s="12" t="s">
        <v>18</v>
      </c>
      <c r="W6" s="6" t="s">
        <v>90</v>
      </c>
      <c r="X6" s="6" t="s">
        <v>91</v>
      </c>
    </row>
    <row r="7" customFormat="false" ht="33.75" hidden="false" customHeight="true" outlineLevel="0" collapsed="false">
      <c r="A7" s="5" t="s">
        <v>92</v>
      </c>
      <c r="B7" s="6" t="s">
        <v>50</v>
      </c>
      <c r="C7" s="6" t="s">
        <v>93</v>
      </c>
      <c r="D7" s="6" t="s">
        <v>94</v>
      </c>
      <c r="E7" s="6" t="s">
        <v>95</v>
      </c>
      <c r="F7" s="6" t="s">
        <v>96</v>
      </c>
      <c r="G7" s="6" t="s">
        <v>97</v>
      </c>
      <c r="H7" s="6" t="s">
        <v>98</v>
      </c>
      <c r="I7" s="6" t="s">
        <v>99</v>
      </c>
      <c r="J7" s="6" t="s">
        <v>100</v>
      </c>
      <c r="K7" s="6" t="s">
        <v>101</v>
      </c>
      <c r="L7" s="6" t="s">
        <v>102</v>
      </c>
      <c r="M7" s="6" t="s">
        <v>103</v>
      </c>
      <c r="N7" s="6" t="s">
        <v>104</v>
      </c>
      <c r="O7" s="6" t="s">
        <v>105</v>
      </c>
      <c r="P7" s="6" t="s">
        <v>106</v>
      </c>
      <c r="Q7" s="6" t="s">
        <v>107</v>
      </c>
      <c r="R7" s="6" t="s">
        <v>108</v>
      </c>
      <c r="S7" s="6" t="s">
        <v>109</v>
      </c>
      <c r="T7" s="6" t="s">
        <v>68</v>
      </c>
      <c r="U7" s="6" t="s">
        <v>110</v>
      </c>
      <c r="V7" s="11" t="s">
        <v>17</v>
      </c>
      <c r="W7" s="6"/>
      <c r="X7" s="6" t="s">
        <v>111</v>
      </c>
    </row>
    <row r="8" customFormat="false" ht="33.75" hidden="false" customHeight="true" outlineLevel="0" collapsed="false">
      <c r="A8" s="5" t="s">
        <v>112</v>
      </c>
      <c r="B8" s="6" t="s">
        <v>50</v>
      </c>
      <c r="C8" s="6" t="s">
        <v>113</v>
      </c>
      <c r="D8" s="6" t="s">
        <v>114</v>
      </c>
      <c r="E8" s="6" t="s">
        <v>115</v>
      </c>
      <c r="F8" s="6" t="s">
        <v>116</v>
      </c>
      <c r="G8" s="6" t="s">
        <v>117</v>
      </c>
      <c r="H8" s="6" t="s">
        <v>118</v>
      </c>
      <c r="I8" s="6" t="s">
        <v>119</v>
      </c>
      <c r="J8" s="6" t="s">
        <v>120</v>
      </c>
      <c r="K8" s="6" t="s">
        <v>121</v>
      </c>
      <c r="L8" s="6" t="s">
        <v>122</v>
      </c>
      <c r="M8" s="6" t="s">
        <v>123</v>
      </c>
      <c r="N8" s="6" t="s">
        <v>124</v>
      </c>
      <c r="O8" s="6" t="s">
        <v>125</v>
      </c>
      <c r="P8" s="6" t="s">
        <v>126</v>
      </c>
      <c r="Q8" s="6" t="s">
        <v>127</v>
      </c>
      <c r="R8" s="6" t="s">
        <v>128</v>
      </c>
      <c r="S8" s="6" t="s">
        <v>129</v>
      </c>
      <c r="T8" s="6" t="s">
        <v>68</v>
      </c>
      <c r="U8" s="6" t="s">
        <v>130</v>
      </c>
      <c r="V8" s="11" t="s">
        <v>17</v>
      </c>
      <c r="W8" s="6"/>
      <c r="X8" s="6" t="s">
        <v>131</v>
      </c>
    </row>
    <row r="9" customFormat="false" ht="33.75" hidden="false" customHeight="true" outlineLevel="0" collapsed="false">
      <c r="A9" s="5" t="s">
        <v>132</v>
      </c>
      <c r="B9" s="6" t="s">
        <v>50</v>
      </c>
      <c r="C9" s="6" t="s">
        <v>133</v>
      </c>
      <c r="D9" s="6" t="s">
        <v>134</v>
      </c>
      <c r="E9" s="6" t="s">
        <v>135</v>
      </c>
      <c r="F9" s="6" t="s">
        <v>136</v>
      </c>
      <c r="G9" s="6" t="s">
        <v>137</v>
      </c>
      <c r="H9" s="6" t="s">
        <v>118</v>
      </c>
      <c r="I9" s="6" t="s">
        <v>138</v>
      </c>
      <c r="J9" s="6" t="s">
        <v>139</v>
      </c>
      <c r="K9" s="6" t="s">
        <v>140</v>
      </c>
      <c r="L9" s="6" t="s">
        <v>141</v>
      </c>
      <c r="M9" s="6" t="s">
        <v>142</v>
      </c>
      <c r="N9" s="6" t="s">
        <v>143</v>
      </c>
      <c r="O9" s="6" t="s">
        <v>144</v>
      </c>
      <c r="P9" s="6" t="s">
        <v>145</v>
      </c>
      <c r="Q9" s="6" t="s">
        <v>146</v>
      </c>
      <c r="R9" s="6" t="s">
        <v>147</v>
      </c>
      <c r="S9" s="6" t="s">
        <v>148</v>
      </c>
      <c r="T9" s="6" t="s">
        <v>68</v>
      </c>
      <c r="U9" s="6" t="s">
        <v>149</v>
      </c>
      <c r="V9" s="11" t="s">
        <v>17</v>
      </c>
      <c r="W9" s="6"/>
      <c r="X9" s="6" t="s">
        <v>150</v>
      </c>
    </row>
    <row r="10" customFormat="false" ht="33.75" hidden="false" customHeight="true" outlineLevel="0" collapsed="false">
      <c r="A10" s="5" t="s">
        <v>151</v>
      </c>
      <c r="B10" s="6" t="s">
        <v>50</v>
      </c>
      <c r="C10" s="6" t="s">
        <v>152</v>
      </c>
      <c r="D10" s="6" t="s">
        <v>153</v>
      </c>
      <c r="E10" s="6" t="s">
        <v>154</v>
      </c>
      <c r="F10" s="6" t="s">
        <v>155</v>
      </c>
      <c r="G10" s="6" t="s">
        <v>156</v>
      </c>
      <c r="H10" s="6" t="s">
        <v>118</v>
      </c>
      <c r="I10" s="6" t="s">
        <v>157</v>
      </c>
      <c r="J10" s="6" t="s">
        <v>158</v>
      </c>
      <c r="K10" s="6" t="s">
        <v>159</v>
      </c>
      <c r="L10" s="6" t="s">
        <v>160</v>
      </c>
      <c r="M10" s="6" t="s">
        <v>161</v>
      </c>
      <c r="N10" s="6" t="s">
        <v>162</v>
      </c>
      <c r="O10" s="6" t="s">
        <v>163</v>
      </c>
      <c r="P10" s="6" t="s">
        <v>164</v>
      </c>
      <c r="Q10" s="6" t="s">
        <v>146</v>
      </c>
      <c r="R10" s="6" t="s">
        <v>165</v>
      </c>
      <c r="S10" s="6" t="s">
        <v>166</v>
      </c>
      <c r="T10" s="6" t="s">
        <v>68</v>
      </c>
      <c r="U10" s="6" t="s">
        <v>167</v>
      </c>
      <c r="V10" s="12" t="s">
        <v>18</v>
      </c>
      <c r="W10" s="6" t="s">
        <v>168</v>
      </c>
      <c r="X10" s="6" t="s">
        <v>169</v>
      </c>
    </row>
    <row r="11" customFormat="false" ht="33.75" hidden="false" customHeight="true" outlineLevel="0" collapsed="false">
      <c r="A11" s="5" t="s">
        <v>170</v>
      </c>
      <c r="B11" s="6" t="s">
        <v>171</v>
      </c>
      <c r="C11" s="6" t="s">
        <v>172</v>
      </c>
      <c r="D11" s="6" t="s">
        <v>173</v>
      </c>
      <c r="E11" s="6" t="s">
        <v>174</v>
      </c>
      <c r="F11" s="6" t="s">
        <v>175</v>
      </c>
      <c r="G11" s="6" t="s">
        <v>176</v>
      </c>
      <c r="H11" s="6" t="s">
        <v>118</v>
      </c>
      <c r="I11" s="6" t="s">
        <v>138</v>
      </c>
      <c r="J11" s="6" t="s">
        <v>177</v>
      </c>
      <c r="K11" s="6" t="s">
        <v>178</v>
      </c>
      <c r="L11" s="6" t="s">
        <v>179</v>
      </c>
      <c r="M11" s="6" t="s">
        <v>180</v>
      </c>
      <c r="N11" s="6" t="s">
        <v>181</v>
      </c>
      <c r="O11" s="6" t="s">
        <v>182</v>
      </c>
      <c r="P11" s="6" t="s">
        <v>183</v>
      </c>
      <c r="Q11" s="6" t="s">
        <v>184</v>
      </c>
      <c r="R11" s="6" t="s">
        <v>185</v>
      </c>
      <c r="S11" s="6" t="s">
        <v>186</v>
      </c>
      <c r="T11" s="6" t="s">
        <v>68</v>
      </c>
      <c r="U11" s="6" t="s">
        <v>187</v>
      </c>
      <c r="V11" s="11" t="s">
        <v>17</v>
      </c>
      <c r="W11" s="6"/>
      <c r="X11" s="6" t="s">
        <v>188</v>
      </c>
    </row>
    <row r="12" customFormat="false" ht="33.75" hidden="false" customHeight="true" outlineLevel="0" collapsed="false">
      <c r="A12" s="5" t="s">
        <v>189</v>
      </c>
      <c r="B12" s="6" t="s">
        <v>171</v>
      </c>
      <c r="C12" s="6" t="s">
        <v>172</v>
      </c>
      <c r="D12" s="6" t="s">
        <v>190</v>
      </c>
      <c r="E12" s="6" t="s">
        <v>191</v>
      </c>
      <c r="F12" s="6" t="s">
        <v>192</v>
      </c>
      <c r="G12" s="6" t="s">
        <v>193</v>
      </c>
      <c r="H12" s="6" t="s">
        <v>118</v>
      </c>
      <c r="I12" s="6" t="s">
        <v>194</v>
      </c>
      <c r="J12" s="6" t="s">
        <v>195</v>
      </c>
      <c r="K12" s="6" t="s">
        <v>196</v>
      </c>
      <c r="L12" s="6" t="s">
        <v>197</v>
      </c>
      <c r="M12" s="6" t="s">
        <v>198</v>
      </c>
      <c r="N12" s="6" t="s">
        <v>199</v>
      </c>
      <c r="O12" s="6" t="s">
        <v>200</v>
      </c>
      <c r="P12" s="6" t="s">
        <v>201</v>
      </c>
      <c r="Q12" s="6" t="s">
        <v>184</v>
      </c>
      <c r="R12" s="6" t="s">
        <v>185</v>
      </c>
      <c r="S12" s="6" t="s">
        <v>202</v>
      </c>
      <c r="T12" s="6" t="s">
        <v>68</v>
      </c>
      <c r="U12" s="6" t="s">
        <v>187</v>
      </c>
      <c r="V12" s="11" t="s">
        <v>17</v>
      </c>
      <c r="W12" s="6"/>
      <c r="X12" s="6" t="s">
        <v>203</v>
      </c>
    </row>
    <row r="13" customFormat="false" ht="33.75" hidden="false" customHeight="true" outlineLevel="0" collapsed="false">
      <c r="A13" s="5" t="s">
        <v>204</v>
      </c>
      <c r="B13" s="6" t="s">
        <v>171</v>
      </c>
      <c r="C13" s="6" t="s">
        <v>205</v>
      </c>
      <c r="D13" s="6" t="s">
        <v>206</v>
      </c>
      <c r="E13" s="6" t="s">
        <v>207</v>
      </c>
      <c r="F13" s="6" t="s">
        <v>208</v>
      </c>
      <c r="G13" s="6" t="s">
        <v>209</v>
      </c>
      <c r="H13" s="6" t="s">
        <v>118</v>
      </c>
      <c r="I13" s="6" t="s">
        <v>210</v>
      </c>
      <c r="J13" s="6" t="s">
        <v>211</v>
      </c>
      <c r="K13" s="6" t="s">
        <v>212</v>
      </c>
      <c r="L13" s="6" t="s">
        <v>213</v>
      </c>
      <c r="M13" s="6" t="s">
        <v>198</v>
      </c>
      <c r="N13" s="6" t="s">
        <v>214</v>
      </c>
      <c r="O13" s="6" t="s">
        <v>215</v>
      </c>
      <c r="P13" s="6" t="s">
        <v>216</v>
      </c>
      <c r="Q13" s="6" t="s">
        <v>184</v>
      </c>
      <c r="R13" s="6" t="s">
        <v>185</v>
      </c>
      <c r="S13" s="6" t="s">
        <v>217</v>
      </c>
      <c r="T13" s="6" t="s">
        <v>68</v>
      </c>
      <c r="U13" s="6" t="s">
        <v>187</v>
      </c>
      <c r="V13" s="11" t="s">
        <v>17</v>
      </c>
      <c r="W13" s="6"/>
      <c r="X13" s="6" t="s">
        <v>218</v>
      </c>
    </row>
    <row r="14" customFormat="false" ht="33.75" hidden="false" customHeight="true" outlineLevel="0" collapsed="false">
      <c r="A14" s="5" t="s">
        <v>219</v>
      </c>
      <c r="B14" s="6" t="s">
        <v>171</v>
      </c>
      <c r="C14" s="6" t="s">
        <v>205</v>
      </c>
      <c r="D14" s="6" t="s">
        <v>220</v>
      </c>
      <c r="E14" s="6" t="s">
        <v>221</v>
      </c>
      <c r="F14" s="6" t="s">
        <v>222</v>
      </c>
      <c r="G14" s="6" t="s">
        <v>223</v>
      </c>
      <c r="H14" s="6" t="s">
        <v>118</v>
      </c>
      <c r="I14" s="6" t="s">
        <v>224</v>
      </c>
      <c r="J14" s="6" t="s">
        <v>225</v>
      </c>
      <c r="K14" s="6" t="s">
        <v>226</v>
      </c>
      <c r="L14" s="6" t="s">
        <v>227</v>
      </c>
      <c r="M14" s="6" t="s">
        <v>198</v>
      </c>
      <c r="N14" s="6" t="s">
        <v>228</v>
      </c>
      <c r="O14" s="6" t="s">
        <v>229</v>
      </c>
      <c r="P14" s="6" t="s">
        <v>230</v>
      </c>
      <c r="Q14" s="6" t="s">
        <v>184</v>
      </c>
      <c r="R14" s="6" t="s">
        <v>185</v>
      </c>
      <c r="S14" s="6" t="s">
        <v>217</v>
      </c>
      <c r="T14" s="6" t="s">
        <v>68</v>
      </c>
      <c r="U14" s="6" t="s">
        <v>187</v>
      </c>
      <c r="V14" s="11" t="s">
        <v>17</v>
      </c>
      <c r="W14" s="6"/>
      <c r="X14" s="6" t="s">
        <v>231</v>
      </c>
    </row>
    <row r="15" customFormat="false" ht="33.75" hidden="false" customHeight="true" outlineLevel="0" collapsed="false">
      <c r="A15" s="5" t="s">
        <v>232</v>
      </c>
      <c r="B15" s="6" t="s">
        <v>171</v>
      </c>
      <c r="C15" s="6" t="s">
        <v>233</v>
      </c>
      <c r="D15" s="6" t="s">
        <v>234</v>
      </c>
      <c r="E15" s="6" t="s">
        <v>235</v>
      </c>
      <c r="F15" s="6" t="s">
        <v>236</v>
      </c>
      <c r="G15" s="6" t="s">
        <v>237</v>
      </c>
      <c r="H15" s="6" t="s">
        <v>238</v>
      </c>
      <c r="I15" s="6" t="s">
        <v>239</v>
      </c>
      <c r="J15" s="6" t="s">
        <v>240</v>
      </c>
      <c r="K15" s="6" t="s">
        <v>241</v>
      </c>
      <c r="L15" s="6" t="s">
        <v>242</v>
      </c>
      <c r="M15" s="6" t="s">
        <v>198</v>
      </c>
      <c r="N15" s="6" t="s">
        <v>243</v>
      </c>
      <c r="O15" s="6" t="s">
        <v>244</v>
      </c>
      <c r="P15" s="6" t="s">
        <v>245</v>
      </c>
      <c r="Q15" s="6" t="s">
        <v>184</v>
      </c>
      <c r="R15" s="6" t="s">
        <v>185</v>
      </c>
      <c r="S15" s="6" t="s">
        <v>217</v>
      </c>
      <c r="T15" s="6" t="s">
        <v>68</v>
      </c>
      <c r="U15" s="6" t="s">
        <v>187</v>
      </c>
      <c r="V15" s="11" t="s">
        <v>17</v>
      </c>
      <c r="W15" s="6"/>
      <c r="X15" s="6" t="s">
        <v>246</v>
      </c>
    </row>
    <row r="16" customFormat="false" ht="33.75" hidden="false" customHeight="true" outlineLevel="0" collapsed="false">
      <c r="A16" s="5" t="s">
        <v>247</v>
      </c>
      <c r="B16" s="6" t="s">
        <v>50</v>
      </c>
      <c r="C16" s="6" t="s">
        <v>248</v>
      </c>
      <c r="D16" s="6" t="s">
        <v>249</v>
      </c>
      <c r="E16" s="6" t="s">
        <v>250</v>
      </c>
      <c r="F16" s="6" t="s">
        <v>251</v>
      </c>
      <c r="G16" s="6" t="s">
        <v>252</v>
      </c>
      <c r="H16" s="6" t="s">
        <v>118</v>
      </c>
      <c r="I16" s="6" t="s">
        <v>253</v>
      </c>
      <c r="J16" s="6" t="s">
        <v>254</v>
      </c>
      <c r="K16" s="6" t="s">
        <v>255</v>
      </c>
      <c r="L16" s="6" t="s">
        <v>256</v>
      </c>
      <c r="M16" s="6" t="s">
        <v>198</v>
      </c>
      <c r="N16" s="6" t="s">
        <v>257</v>
      </c>
      <c r="O16" s="6" t="s">
        <v>258</v>
      </c>
      <c r="P16" s="6" t="s">
        <v>259</v>
      </c>
      <c r="Q16" s="6" t="s">
        <v>184</v>
      </c>
      <c r="R16" s="6" t="s">
        <v>185</v>
      </c>
      <c r="S16" s="6" t="s">
        <v>217</v>
      </c>
      <c r="T16" s="6" t="s">
        <v>68</v>
      </c>
      <c r="U16" s="6" t="s">
        <v>187</v>
      </c>
      <c r="V16" s="11" t="s">
        <v>17</v>
      </c>
      <c r="W16" s="6"/>
      <c r="X16" s="6" t="s">
        <v>260</v>
      </c>
    </row>
    <row r="17" customFormat="false" ht="33.75" hidden="false" customHeight="true" outlineLevel="0" collapsed="false">
      <c r="A17" s="5" t="s">
        <v>261</v>
      </c>
      <c r="B17" s="6" t="s">
        <v>171</v>
      </c>
      <c r="C17" s="6" t="s">
        <v>262</v>
      </c>
      <c r="D17" s="6" t="s">
        <v>263</v>
      </c>
      <c r="E17" s="6" t="s">
        <v>264</v>
      </c>
      <c r="F17" s="6" t="s">
        <v>265</v>
      </c>
      <c r="G17" s="6" t="s">
        <v>266</v>
      </c>
      <c r="H17" s="6" t="s">
        <v>118</v>
      </c>
      <c r="I17" s="6" t="s">
        <v>267</v>
      </c>
      <c r="J17" s="6" t="s">
        <v>268</v>
      </c>
      <c r="K17" s="6" t="s">
        <v>269</v>
      </c>
      <c r="L17" s="6" t="s">
        <v>270</v>
      </c>
      <c r="M17" s="6" t="s">
        <v>198</v>
      </c>
      <c r="N17" s="6" t="s">
        <v>271</v>
      </c>
      <c r="O17" s="6" t="s">
        <v>272</v>
      </c>
      <c r="P17" s="6" t="s">
        <v>245</v>
      </c>
      <c r="Q17" s="6" t="s">
        <v>184</v>
      </c>
      <c r="R17" s="6" t="s">
        <v>185</v>
      </c>
      <c r="S17" s="6" t="s">
        <v>217</v>
      </c>
      <c r="T17" s="6" t="s">
        <v>68</v>
      </c>
      <c r="U17" s="6" t="s">
        <v>187</v>
      </c>
      <c r="V17" s="11" t="s">
        <v>17</v>
      </c>
      <c r="W17" s="6"/>
      <c r="X17" s="6" t="s">
        <v>273</v>
      </c>
    </row>
    <row r="18" customFormat="false" ht="33.75" hidden="false" customHeight="true" outlineLevel="0" collapsed="false">
      <c r="A18" s="5" t="s">
        <v>274</v>
      </c>
      <c r="B18" s="6" t="s">
        <v>50</v>
      </c>
      <c r="C18" s="6" t="s">
        <v>262</v>
      </c>
      <c r="D18" s="6" t="s">
        <v>275</v>
      </c>
      <c r="E18" s="6" t="s">
        <v>276</v>
      </c>
      <c r="F18" s="6" t="s">
        <v>277</v>
      </c>
      <c r="G18" s="6" t="s">
        <v>278</v>
      </c>
      <c r="H18" s="6" t="s">
        <v>118</v>
      </c>
      <c r="I18" s="6" t="s">
        <v>279</v>
      </c>
      <c r="J18" s="6" t="s">
        <v>280</v>
      </c>
      <c r="K18" s="6" t="s">
        <v>281</v>
      </c>
      <c r="L18" s="6" t="s">
        <v>282</v>
      </c>
      <c r="M18" s="6" t="s">
        <v>198</v>
      </c>
      <c r="N18" s="6" t="s">
        <v>283</v>
      </c>
      <c r="O18" s="6" t="s">
        <v>284</v>
      </c>
      <c r="P18" s="6" t="s">
        <v>285</v>
      </c>
      <c r="Q18" s="6" t="s">
        <v>184</v>
      </c>
      <c r="R18" s="6" t="s">
        <v>185</v>
      </c>
      <c r="S18" s="6" t="s">
        <v>286</v>
      </c>
      <c r="T18" s="6" t="s">
        <v>68</v>
      </c>
      <c r="U18" s="6" t="s">
        <v>187</v>
      </c>
      <c r="V18" s="12" t="s">
        <v>18</v>
      </c>
      <c r="W18" s="6" t="s">
        <v>168</v>
      </c>
      <c r="X18" s="6" t="s">
        <v>287</v>
      </c>
    </row>
    <row r="19" customFormat="false" ht="33.75" hidden="false" customHeight="true" outlineLevel="0" collapsed="false">
      <c r="A19" s="5" t="s">
        <v>288</v>
      </c>
      <c r="B19" s="6" t="s">
        <v>171</v>
      </c>
      <c r="C19" s="6" t="s">
        <v>289</v>
      </c>
      <c r="D19" s="6" t="s">
        <v>290</v>
      </c>
      <c r="E19" s="6" t="s">
        <v>291</v>
      </c>
      <c r="F19" s="6" t="s">
        <v>292</v>
      </c>
      <c r="G19" s="6" t="s">
        <v>293</v>
      </c>
      <c r="H19" s="6" t="s">
        <v>118</v>
      </c>
      <c r="I19" s="6" t="s">
        <v>294</v>
      </c>
      <c r="J19" s="6" t="s">
        <v>295</v>
      </c>
      <c r="K19" s="6" t="s">
        <v>296</v>
      </c>
      <c r="L19" s="6" t="s">
        <v>297</v>
      </c>
      <c r="M19" s="6" t="s">
        <v>198</v>
      </c>
      <c r="N19" s="6" t="s">
        <v>298</v>
      </c>
      <c r="O19" s="6" t="s">
        <v>299</v>
      </c>
      <c r="P19" s="6" t="s">
        <v>300</v>
      </c>
      <c r="Q19" s="6" t="s">
        <v>184</v>
      </c>
      <c r="R19" s="6" t="s">
        <v>185</v>
      </c>
      <c r="S19" s="6" t="s">
        <v>217</v>
      </c>
      <c r="T19" s="6" t="s">
        <v>68</v>
      </c>
      <c r="U19" s="6" t="s">
        <v>187</v>
      </c>
      <c r="V19" s="12" t="s">
        <v>18</v>
      </c>
      <c r="W19" s="6" t="s">
        <v>168</v>
      </c>
      <c r="X19" s="6" t="s">
        <v>301</v>
      </c>
    </row>
    <row r="20" customFormat="false" ht="33.75" hidden="false" customHeight="true" outlineLevel="0" collapsed="false">
      <c r="A20" s="5" t="s">
        <v>302</v>
      </c>
      <c r="B20" s="6" t="s">
        <v>50</v>
      </c>
      <c r="C20" s="6" t="s">
        <v>303</v>
      </c>
      <c r="D20" s="6" t="s">
        <v>304</v>
      </c>
      <c r="E20" s="6" t="s">
        <v>305</v>
      </c>
      <c r="F20" s="6" t="s">
        <v>306</v>
      </c>
      <c r="G20" s="6" t="s">
        <v>307</v>
      </c>
      <c r="H20" s="6" t="s">
        <v>118</v>
      </c>
      <c r="I20" s="6" t="s">
        <v>308</v>
      </c>
      <c r="J20" s="6" t="s">
        <v>309</v>
      </c>
      <c r="K20" s="6" t="s">
        <v>310</v>
      </c>
      <c r="L20" s="6" t="s">
        <v>311</v>
      </c>
      <c r="M20" s="6" t="s">
        <v>198</v>
      </c>
      <c r="N20" s="6" t="s">
        <v>312</v>
      </c>
      <c r="O20" s="6" t="s">
        <v>313</v>
      </c>
      <c r="P20" s="6" t="s">
        <v>314</v>
      </c>
      <c r="Q20" s="6" t="s">
        <v>315</v>
      </c>
      <c r="R20" s="6" t="s">
        <v>185</v>
      </c>
      <c r="S20" s="6" t="s">
        <v>316</v>
      </c>
      <c r="T20" s="6" t="s">
        <v>68</v>
      </c>
      <c r="U20" s="6" t="s">
        <v>187</v>
      </c>
      <c r="V20" s="12" t="s">
        <v>18</v>
      </c>
      <c r="W20" s="6" t="s">
        <v>317</v>
      </c>
      <c r="X20" s="6" t="s">
        <v>318</v>
      </c>
    </row>
    <row r="21" customFormat="false" ht="33.75" hidden="false" customHeight="true" outlineLevel="0" collapsed="false">
      <c r="A21" s="5" t="s">
        <v>319</v>
      </c>
      <c r="B21" s="6" t="s">
        <v>171</v>
      </c>
      <c r="C21" s="6" t="s">
        <v>320</v>
      </c>
      <c r="D21" s="6" t="s">
        <v>321</v>
      </c>
      <c r="E21" s="6" t="s">
        <v>322</v>
      </c>
      <c r="F21" s="6" t="s">
        <v>323</v>
      </c>
      <c r="G21" s="6" t="s">
        <v>324</v>
      </c>
      <c r="H21" s="6" t="s">
        <v>118</v>
      </c>
      <c r="I21" s="6" t="s">
        <v>224</v>
      </c>
      <c r="J21" s="6" t="s">
        <v>325</v>
      </c>
      <c r="K21" s="6" t="s">
        <v>326</v>
      </c>
      <c r="L21" s="6" t="s">
        <v>327</v>
      </c>
      <c r="M21" s="6" t="s">
        <v>198</v>
      </c>
      <c r="N21" s="6" t="s">
        <v>328</v>
      </c>
      <c r="O21" s="6" t="s">
        <v>329</v>
      </c>
      <c r="P21" s="6" t="s">
        <v>330</v>
      </c>
      <c r="Q21" s="6" t="s">
        <v>184</v>
      </c>
      <c r="R21" s="6" t="s">
        <v>185</v>
      </c>
      <c r="S21" s="6" t="s">
        <v>217</v>
      </c>
      <c r="T21" s="6" t="s">
        <v>68</v>
      </c>
      <c r="U21" s="6" t="s">
        <v>187</v>
      </c>
      <c r="V21" s="11" t="s">
        <v>17</v>
      </c>
      <c r="W21" s="6"/>
      <c r="X21" s="6" t="s">
        <v>331</v>
      </c>
    </row>
    <row r="22" customFormat="false" ht="33.75" hidden="false" customHeight="true" outlineLevel="0" collapsed="false">
      <c r="A22" s="5" t="s">
        <v>332</v>
      </c>
      <c r="B22" s="6" t="s">
        <v>171</v>
      </c>
      <c r="C22" s="6" t="s">
        <v>333</v>
      </c>
      <c r="D22" s="6" t="s">
        <v>334</v>
      </c>
      <c r="E22" s="6" t="s">
        <v>335</v>
      </c>
      <c r="F22" s="6" t="s">
        <v>336</v>
      </c>
      <c r="G22" s="6" t="s">
        <v>337</v>
      </c>
      <c r="H22" s="6" t="s">
        <v>118</v>
      </c>
      <c r="I22" s="6" t="s">
        <v>338</v>
      </c>
      <c r="J22" s="6" t="s">
        <v>339</v>
      </c>
      <c r="K22" s="6" t="s">
        <v>340</v>
      </c>
      <c r="L22" s="6" t="s">
        <v>341</v>
      </c>
      <c r="M22" s="6" t="s">
        <v>198</v>
      </c>
      <c r="N22" s="6" t="s">
        <v>342</v>
      </c>
      <c r="O22" s="6" t="s">
        <v>343</v>
      </c>
      <c r="P22" s="6" t="s">
        <v>344</v>
      </c>
      <c r="Q22" s="6" t="s">
        <v>184</v>
      </c>
      <c r="R22" s="6" t="s">
        <v>185</v>
      </c>
      <c r="S22" s="6" t="s">
        <v>217</v>
      </c>
      <c r="T22" s="6" t="s">
        <v>68</v>
      </c>
      <c r="U22" s="6" t="s">
        <v>187</v>
      </c>
      <c r="V22" s="11" t="s">
        <v>17</v>
      </c>
      <c r="W22" s="6"/>
      <c r="X22" s="6" t="s">
        <v>345</v>
      </c>
    </row>
    <row r="23" customFormat="false" ht="33.75" hidden="false" customHeight="true" outlineLevel="0" collapsed="false">
      <c r="A23" s="5" t="s">
        <v>346</v>
      </c>
      <c r="B23" s="6" t="s">
        <v>171</v>
      </c>
      <c r="C23" s="6" t="s">
        <v>347</v>
      </c>
      <c r="D23" s="6" t="s">
        <v>348</v>
      </c>
      <c r="E23" s="6" t="s">
        <v>349</v>
      </c>
      <c r="F23" s="6" t="s">
        <v>350</v>
      </c>
      <c r="G23" s="6" t="s">
        <v>351</v>
      </c>
      <c r="H23" s="6" t="s">
        <v>118</v>
      </c>
      <c r="I23" s="6" t="s">
        <v>352</v>
      </c>
      <c r="J23" s="6" t="s">
        <v>353</v>
      </c>
      <c r="K23" s="6" t="s">
        <v>354</v>
      </c>
      <c r="L23" s="6" t="s">
        <v>355</v>
      </c>
      <c r="M23" s="6" t="s">
        <v>198</v>
      </c>
      <c r="N23" s="6" t="s">
        <v>356</v>
      </c>
      <c r="O23" s="6" t="s">
        <v>357</v>
      </c>
      <c r="P23" s="6" t="s">
        <v>358</v>
      </c>
      <c r="Q23" s="6" t="s">
        <v>184</v>
      </c>
      <c r="R23" s="6" t="s">
        <v>185</v>
      </c>
      <c r="S23" s="6" t="s">
        <v>217</v>
      </c>
      <c r="T23" s="6" t="s">
        <v>68</v>
      </c>
      <c r="U23" s="6" t="s">
        <v>187</v>
      </c>
      <c r="V23" s="12" t="s">
        <v>18</v>
      </c>
      <c r="W23" s="6" t="s">
        <v>168</v>
      </c>
      <c r="X23" s="6" t="s">
        <v>359</v>
      </c>
    </row>
    <row r="24" customFormat="false" ht="33.75" hidden="false" customHeight="true" outlineLevel="0" collapsed="false">
      <c r="A24" s="5" t="s">
        <v>360</v>
      </c>
      <c r="B24" s="6" t="s">
        <v>171</v>
      </c>
      <c r="C24" s="6" t="s">
        <v>347</v>
      </c>
      <c r="D24" s="6" t="s">
        <v>361</v>
      </c>
      <c r="E24" s="6" t="s">
        <v>362</v>
      </c>
      <c r="F24" s="6" t="s">
        <v>363</v>
      </c>
      <c r="G24" s="6" t="s">
        <v>364</v>
      </c>
      <c r="H24" s="6" t="s">
        <v>118</v>
      </c>
      <c r="I24" s="6" t="s">
        <v>365</v>
      </c>
      <c r="J24" s="6" t="s">
        <v>366</v>
      </c>
      <c r="K24" s="6" t="s">
        <v>367</v>
      </c>
      <c r="L24" s="6" t="s">
        <v>341</v>
      </c>
      <c r="M24" s="6" t="s">
        <v>198</v>
      </c>
      <c r="N24" s="6" t="s">
        <v>368</v>
      </c>
      <c r="O24" s="6" t="s">
        <v>369</v>
      </c>
      <c r="P24" s="6" t="s">
        <v>370</v>
      </c>
      <c r="Q24" s="6" t="s">
        <v>184</v>
      </c>
      <c r="R24" s="6" t="s">
        <v>185</v>
      </c>
      <c r="S24" s="6" t="s">
        <v>217</v>
      </c>
      <c r="T24" s="6" t="s">
        <v>68</v>
      </c>
      <c r="U24" s="6" t="s">
        <v>187</v>
      </c>
      <c r="V24" s="11" t="s">
        <v>17</v>
      </c>
      <c r="W24" s="6"/>
      <c r="X24" s="6" t="s">
        <v>371</v>
      </c>
    </row>
    <row r="25" customFormat="false" ht="33.75" hidden="false" customHeight="true" outlineLevel="0" collapsed="false">
      <c r="A25" s="5" t="s">
        <v>372</v>
      </c>
      <c r="B25" s="6" t="s">
        <v>171</v>
      </c>
      <c r="C25" s="6" t="s">
        <v>347</v>
      </c>
      <c r="D25" s="6" t="s">
        <v>373</v>
      </c>
      <c r="E25" s="6" t="s">
        <v>374</v>
      </c>
      <c r="F25" s="6" t="s">
        <v>375</v>
      </c>
      <c r="G25" s="6" t="s">
        <v>376</v>
      </c>
      <c r="H25" s="6" t="s">
        <v>118</v>
      </c>
      <c r="I25" s="6" t="s">
        <v>377</v>
      </c>
      <c r="J25" s="6" t="s">
        <v>378</v>
      </c>
      <c r="K25" s="6" t="s">
        <v>354</v>
      </c>
      <c r="L25" s="6" t="s">
        <v>379</v>
      </c>
      <c r="M25" s="6" t="s">
        <v>198</v>
      </c>
      <c r="N25" s="6" t="s">
        <v>380</v>
      </c>
      <c r="O25" s="6" t="s">
        <v>381</v>
      </c>
      <c r="P25" s="6" t="s">
        <v>382</v>
      </c>
      <c r="Q25" s="6" t="s">
        <v>184</v>
      </c>
      <c r="R25" s="6" t="s">
        <v>185</v>
      </c>
      <c r="S25" s="6" t="s">
        <v>217</v>
      </c>
      <c r="T25" s="6" t="s">
        <v>68</v>
      </c>
      <c r="U25" s="6" t="s">
        <v>187</v>
      </c>
      <c r="V25" s="11" t="s">
        <v>17</v>
      </c>
      <c r="W25" s="6"/>
      <c r="X25" s="6" t="s">
        <v>383</v>
      </c>
    </row>
    <row r="26" customFormat="false" ht="33.75" hidden="false" customHeight="true" outlineLevel="0" collapsed="false">
      <c r="A26" s="5" t="s">
        <v>384</v>
      </c>
      <c r="B26" s="6" t="s">
        <v>171</v>
      </c>
      <c r="C26" s="6" t="s">
        <v>385</v>
      </c>
      <c r="D26" s="6" t="s">
        <v>386</v>
      </c>
      <c r="E26" s="6" t="s">
        <v>387</v>
      </c>
      <c r="F26" s="6" t="s">
        <v>388</v>
      </c>
      <c r="G26" s="6" t="s">
        <v>385</v>
      </c>
      <c r="H26" s="6" t="s">
        <v>118</v>
      </c>
      <c r="I26" s="6" t="s">
        <v>389</v>
      </c>
      <c r="J26" s="6" t="s">
        <v>390</v>
      </c>
      <c r="K26" s="6" t="s">
        <v>391</v>
      </c>
      <c r="L26" s="6" t="s">
        <v>392</v>
      </c>
      <c r="M26" s="6" t="s">
        <v>198</v>
      </c>
      <c r="N26" s="6" t="s">
        <v>393</v>
      </c>
      <c r="O26" s="6" t="s">
        <v>394</v>
      </c>
      <c r="P26" s="6" t="s">
        <v>395</v>
      </c>
      <c r="Q26" s="6" t="s">
        <v>184</v>
      </c>
      <c r="R26" s="6" t="s">
        <v>185</v>
      </c>
      <c r="S26" s="6" t="s">
        <v>217</v>
      </c>
      <c r="T26" s="6" t="s">
        <v>68</v>
      </c>
      <c r="U26" s="6" t="s">
        <v>187</v>
      </c>
      <c r="V26" s="12" t="s">
        <v>18</v>
      </c>
      <c r="W26" s="6" t="s">
        <v>396</v>
      </c>
      <c r="X26" s="6" t="s">
        <v>397</v>
      </c>
    </row>
    <row r="27" customFormat="false" ht="33.75" hidden="false" customHeight="true" outlineLevel="0" collapsed="false">
      <c r="A27" s="5" t="s">
        <v>398</v>
      </c>
      <c r="B27" s="6" t="s">
        <v>171</v>
      </c>
      <c r="C27" s="6" t="s">
        <v>399</v>
      </c>
      <c r="D27" s="6" t="s">
        <v>400</v>
      </c>
      <c r="E27" s="6" t="s">
        <v>401</v>
      </c>
      <c r="F27" s="6" t="s">
        <v>402</v>
      </c>
      <c r="G27" s="6" t="s">
        <v>399</v>
      </c>
      <c r="H27" s="6" t="s">
        <v>118</v>
      </c>
      <c r="I27" s="6" t="s">
        <v>403</v>
      </c>
      <c r="J27" s="6" t="s">
        <v>404</v>
      </c>
      <c r="K27" s="6" t="s">
        <v>405</v>
      </c>
      <c r="L27" s="6" t="s">
        <v>406</v>
      </c>
      <c r="M27" s="6" t="s">
        <v>198</v>
      </c>
      <c r="N27" s="6" t="s">
        <v>407</v>
      </c>
      <c r="O27" s="6" t="s">
        <v>408</v>
      </c>
      <c r="P27" s="6" t="s">
        <v>409</v>
      </c>
      <c r="Q27" s="6" t="s">
        <v>184</v>
      </c>
      <c r="R27" s="6" t="s">
        <v>185</v>
      </c>
      <c r="S27" s="6" t="s">
        <v>217</v>
      </c>
      <c r="T27" s="6" t="s">
        <v>68</v>
      </c>
      <c r="U27" s="6" t="s">
        <v>187</v>
      </c>
      <c r="V27" s="12" t="s">
        <v>18</v>
      </c>
      <c r="W27" s="6" t="s">
        <v>168</v>
      </c>
      <c r="X27" s="6" t="s">
        <v>410</v>
      </c>
    </row>
    <row r="28" customFormat="false" ht="33.75" hidden="false" customHeight="true" outlineLevel="0" collapsed="false">
      <c r="A28" s="5" t="s">
        <v>411</v>
      </c>
      <c r="B28" s="6" t="s">
        <v>171</v>
      </c>
      <c r="C28" s="6" t="s">
        <v>412</v>
      </c>
      <c r="D28" s="6" t="s">
        <v>413</v>
      </c>
      <c r="E28" s="6" t="s">
        <v>414</v>
      </c>
      <c r="F28" s="6" t="s">
        <v>415</v>
      </c>
      <c r="G28" s="6" t="s">
        <v>412</v>
      </c>
      <c r="H28" s="6" t="s">
        <v>118</v>
      </c>
      <c r="I28" s="6" t="s">
        <v>416</v>
      </c>
      <c r="J28" s="6" t="s">
        <v>417</v>
      </c>
      <c r="K28" s="6" t="s">
        <v>418</v>
      </c>
      <c r="L28" s="6" t="s">
        <v>419</v>
      </c>
      <c r="M28" s="6" t="s">
        <v>198</v>
      </c>
      <c r="N28" s="6" t="s">
        <v>420</v>
      </c>
      <c r="O28" s="6" t="s">
        <v>421</v>
      </c>
      <c r="P28" s="6" t="s">
        <v>245</v>
      </c>
      <c r="Q28" s="6" t="s">
        <v>184</v>
      </c>
      <c r="R28" s="6" t="s">
        <v>185</v>
      </c>
      <c r="S28" s="6" t="s">
        <v>217</v>
      </c>
      <c r="T28" s="6" t="s">
        <v>68</v>
      </c>
      <c r="U28" s="6" t="s">
        <v>187</v>
      </c>
      <c r="V28" s="11" t="s">
        <v>17</v>
      </c>
      <c r="W28" s="6"/>
      <c r="X28" s="6" t="s">
        <v>422</v>
      </c>
    </row>
    <row r="29" customFormat="false" ht="33.75" hidden="false" customHeight="true" outlineLevel="0" collapsed="false">
      <c r="A29" s="5" t="s">
        <v>423</v>
      </c>
      <c r="B29" s="6" t="s">
        <v>171</v>
      </c>
      <c r="C29" s="6" t="s">
        <v>252</v>
      </c>
      <c r="D29" s="6" t="s">
        <v>424</v>
      </c>
      <c r="E29" s="6" t="s">
        <v>414</v>
      </c>
      <c r="F29" s="6" t="s">
        <v>425</v>
      </c>
      <c r="G29" s="6" t="s">
        <v>252</v>
      </c>
      <c r="H29" s="6" t="s">
        <v>118</v>
      </c>
      <c r="I29" s="6" t="s">
        <v>426</v>
      </c>
      <c r="J29" s="6" t="s">
        <v>427</v>
      </c>
      <c r="K29" s="6" t="s">
        <v>428</v>
      </c>
      <c r="L29" s="6" t="s">
        <v>429</v>
      </c>
      <c r="M29" s="6" t="s">
        <v>198</v>
      </c>
      <c r="N29" s="6" t="s">
        <v>430</v>
      </c>
      <c r="O29" s="6" t="s">
        <v>431</v>
      </c>
      <c r="P29" s="6" t="s">
        <v>245</v>
      </c>
      <c r="Q29" s="6" t="s">
        <v>184</v>
      </c>
      <c r="R29" s="6" t="s">
        <v>185</v>
      </c>
      <c r="S29" s="6" t="s">
        <v>217</v>
      </c>
      <c r="T29" s="6" t="s">
        <v>68</v>
      </c>
      <c r="U29" s="6" t="s">
        <v>187</v>
      </c>
      <c r="V29" s="11" t="s">
        <v>17</v>
      </c>
      <c r="W29" s="6"/>
      <c r="X29" s="6" t="s">
        <v>432</v>
      </c>
    </row>
    <row r="30" customFormat="false" ht="33.75" hidden="false" customHeight="true" outlineLevel="0" collapsed="false">
      <c r="A30" s="5" t="s">
        <v>433</v>
      </c>
      <c r="B30" s="6" t="s">
        <v>171</v>
      </c>
      <c r="C30" s="6" t="s">
        <v>434</v>
      </c>
      <c r="D30" s="6" t="s">
        <v>435</v>
      </c>
      <c r="E30" s="6" t="s">
        <v>436</v>
      </c>
      <c r="F30" s="6" t="s">
        <v>437</v>
      </c>
      <c r="G30" s="6" t="s">
        <v>434</v>
      </c>
      <c r="H30" s="6" t="s">
        <v>118</v>
      </c>
      <c r="I30" s="6" t="s">
        <v>438</v>
      </c>
      <c r="J30" s="6" t="s">
        <v>439</v>
      </c>
      <c r="K30" s="6" t="s">
        <v>440</v>
      </c>
      <c r="L30" s="6" t="s">
        <v>419</v>
      </c>
      <c r="M30" s="6" t="s">
        <v>198</v>
      </c>
      <c r="N30" s="6" t="s">
        <v>441</v>
      </c>
      <c r="O30" s="6" t="s">
        <v>442</v>
      </c>
      <c r="P30" s="6" t="s">
        <v>245</v>
      </c>
      <c r="Q30" s="6" t="s">
        <v>184</v>
      </c>
      <c r="R30" s="6" t="s">
        <v>185</v>
      </c>
      <c r="S30" s="6" t="s">
        <v>217</v>
      </c>
      <c r="T30" s="6" t="s">
        <v>68</v>
      </c>
      <c r="U30" s="6" t="s">
        <v>187</v>
      </c>
      <c r="V30" s="11" t="s">
        <v>17</v>
      </c>
      <c r="W30" s="6"/>
      <c r="X30" s="6" t="s">
        <v>443</v>
      </c>
    </row>
    <row r="31" customFormat="false" ht="33.75" hidden="false" customHeight="true" outlineLevel="0" collapsed="false">
      <c r="A31" s="5" t="s">
        <v>444</v>
      </c>
      <c r="B31" s="6" t="s">
        <v>171</v>
      </c>
      <c r="C31" s="6" t="s">
        <v>445</v>
      </c>
      <c r="D31" s="6" t="s">
        <v>446</v>
      </c>
      <c r="E31" s="6" t="s">
        <v>447</v>
      </c>
      <c r="F31" s="6" t="s">
        <v>448</v>
      </c>
      <c r="G31" s="6" t="s">
        <v>445</v>
      </c>
      <c r="H31" s="6" t="s">
        <v>118</v>
      </c>
      <c r="I31" s="6" t="s">
        <v>449</v>
      </c>
      <c r="J31" s="6" t="s">
        <v>450</v>
      </c>
      <c r="K31" s="6" t="s">
        <v>451</v>
      </c>
      <c r="L31" s="6" t="s">
        <v>452</v>
      </c>
      <c r="M31" s="6" t="s">
        <v>198</v>
      </c>
      <c r="N31" s="6" t="s">
        <v>453</v>
      </c>
      <c r="O31" s="6" t="s">
        <v>454</v>
      </c>
      <c r="P31" s="6" t="s">
        <v>455</v>
      </c>
      <c r="Q31" s="6" t="s">
        <v>184</v>
      </c>
      <c r="R31" s="6" t="s">
        <v>185</v>
      </c>
      <c r="S31" s="6" t="s">
        <v>217</v>
      </c>
      <c r="T31" s="6" t="s">
        <v>68</v>
      </c>
      <c r="U31" s="6" t="s">
        <v>187</v>
      </c>
      <c r="V31" s="11" t="s">
        <v>17</v>
      </c>
      <c r="W31" s="6"/>
      <c r="X31" s="6" t="s">
        <v>456</v>
      </c>
    </row>
    <row r="32" customFormat="false" ht="33.75" hidden="false" customHeight="true" outlineLevel="0" collapsed="false">
      <c r="A32" s="5" t="s">
        <v>457</v>
      </c>
      <c r="B32" s="6" t="s">
        <v>171</v>
      </c>
      <c r="C32" s="6" t="s">
        <v>458</v>
      </c>
      <c r="D32" s="6" t="s">
        <v>459</v>
      </c>
      <c r="E32" s="6" t="s">
        <v>460</v>
      </c>
      <c r="F32" s="6" t="s">
        <v>461</v>
      </c>
      <c r="G32" s="6" t="s">
        <v>462</v>
      </c>
      <c r="H32" s="6" t="s">
        <v>118</v>
      </c>
      <c r="I32" s="6" t="s">
        <v>463</v>
      </c>
      <c r="J32" s="6" t="s">
        <v>464</v>
      </c>
      <c r="K32" s="6" t="s">
        <v>465</v>
      </c>
      <c r="L32" s="6" t="s">
        <v>466</v>
      </c>
      <c r="M32" s="6" t="s">
        <v>198</v>
      </c>
      <c r="N32" s="6" t="s">
        <v>467</v>
      </c>
      <c r="O32" s="6" t="s">
        <v>468</v>
      </c>
      <c r="P32" s="6" t="s">
        <v>245</v>
      </c>
      <c r="Q32" s="6" t="s">
        <v>184</v>
      </c>
      <c r="R32" s="6" t="s">
        <v>185</v>
      </c>
      <c r="S32" s="6" t="s">
        <v>469</v>
      </c>
      <c r="T32" s="6" t="s">
        <v>68</v>
      </c>
      <c r="U32" s="6" t="s">
        <v>187</v>
      </c>
      <c r="V32" s="11" t="s">
        <v>17</v>
      </c>
      <c r="W32" s="6"/>
      <c r="X32" s="6" t="s">
        <v>470</v>
      </c>
    </row>
    <row r="33" customFormat="false" ht="33.75" hidden="false" customHeight="true" outlineLevel="0" collapsed="false">
      <c r="A33" s="5" t="s">
        <v>471</v>
      </c>
      <c r="B33" s="6" t="s">
        <v>50</v>
      </c>
      <c r="C33" s="6" t="s">
        <v>472</v>
      </c>
      <c r="D33" s="6" t="s">
        <v>473</v>
      </c>
      <c r="E33" s="6" t="s">
        <v>474</v>
      </c>
      <c r="F33" s="6" t="s">
        <v>475</v>
      </c>
      <c r="G33" s="6" t="s">
        <v>476</v>
      </c>
      <c r="H33" s="6" t="s">
        <v>118</v>
      </c>
      <c r="I33" s="6" t="s">
        <v>477</v>
      </c>
      <c r="J33" s="6" t="s">
        <v>478</v>
      </c>
      <c r="K33" s="6" t="s">
        <v>479</v>
      </c>
      <c r="L33" s="6" t="s">
        <v>406</v>
      </c>
      <c r="M33" s="6" t="s">
        <v>198</v>
      </c>
      <c r="N33" s="6" t="s">
        <v>480</v>
      </c>
      <c r="O33" s="6" t="s">
        <v>481</v>
      </c>
      <c r="P33" s="6" t="s">
        <v>482</v>
      </c>
      <c r="Q33" s="6" t="s">
        <v>483</v>
      </c>
      <c r="R33" s="6" t="s">
        <v>185</v>
      </c>
      <c r="S33" s="6" t="s">
        <v>484</v>
      </c>
      <c r="T33" s="6" t="s">
        <v>68</v>
      </c>
      <c r="U33" s="6" t="s">
        <v>187</v>
      </c>
      <c r="V33" s="12" t="s">
        <v>18</v>
      </c>
      <c r="W33" s="6" t="s">
        <v>396</v>
      </c>
      <c r="X33" s="6" t="s">
        <v>485</v>
      </c>
    </row>
    <row r="34" customFormat="false" ht="33.75" hidden="false" customHeight="true" outlineLevel="0" collapsed="false">
      <c r="A34" s="5" t="s">
        <v>486</v>
      </c>
      <c r="B34" s="6" t="s">
        <v>171</v>
      </c>
      <c r="C34" s="6" t="s">
        <v>487</v>
      </c>
      <c r="D34" s="6" t="s">
        <v>488</v>
      </c>
      <c r="E34" s="6" t="s">
        <v>489</v>
      </c>
      <c r="F34" s="6" t="s">
        <v>490</v>
      </c>
      <c r="G34" s="6" t="s">
        <v>491</v>
      </c>
      <c r="H34" s="6" t="s">
        <v>118</v>
      </c>
      <c r="I34" s="6" t="s">
        <v>492</v>
      </c>
      <c r="J34" s="6" t="s">
        <v>493</v>
      </c>
      <c r="K34" s="6" t="s">
        <v>494</v>
      </c>
      <c r="L34" s="6" t="s">
        <v>494</v>
      </c>
      <c r="M34" s="6" t="s">
        <v>198</v>
      </c>
      <c r="N34" s="6" t="s">
        <v>495</v>
      </c>
      <c r="O34" s="6" t="s">
        <v>496</v>
      </c>
      <c r="P34" s="6" t="s">
        <v>497</v>
      </c>
      <c r="Q34" s="6" t="s">
        <v>184</v>
      </c>
      <c r="R34" s="6" t="s">
        <v>185</v>
      </c>
      <c r="S34" s="6" t="s">
        <v>217</v>
      </c>
      <c r="T34" s="6" t="s">
        <v>68</v>
      </c>
      <c r="U34" s="6" t="s">
        <v>187</v>
      </c>
      <c r="V34" s="11" t="s">
        <v>17</v>
      </c>
      <c r="W34" s="6"/>
      <c r="X34" s="6" t="s">
        <v>498</v>
      </c>
    </row>
    <row r="35" customFormat="false" ht="33.75" hidden="false" customHeight="true" outlineLevel="0" collapsed="false">
      <c r="A35" s="5" t="s">
        <v>499</v>
      </c>
      <c r="B35" s="6" t="s">
        <v>171</v>
      </c>
      <c r="C35" s="6" t="s">
        <v>500</v>
      </c>
      <c r="D35" s="6" t="s">
        <v>501</v>
      </c>
      <c r="E35" s="6" t="s">
        <v>502</v>
      </c>
      <c r="F35" s="6" t="s">
        <v>503</v>
      </c>
      <c r="G35" s="6" t="s">
        <v>504</v>
      </c>
      <c r="H35" s="6" t="s">
        <v>118</v>
      </c>
      <c r="I35" s="6" t="s">
        <v>505</v>
      </c>
      <c r="J35" s="6" t="s">
        <v>506</v>
      </c>
      <c r="K35" s="6" t="s">
        <v>507</v>
      </c>
      <c r="L35" s="6" t="s">
        <v>508</v>
      </c>
      <c r="M35" s="6" t="s">
        <v>198</v>
      </c>
      <c r="N35" s="6" t="s">
        <v>509</v>
      </c>
      <c r="O35" s="6" t="s">
        <v>510</v>
      </c>
      <c r="P35" s="6" t="s">
        <v>511</v>
      </c>
      <c r="Q35" s="6" t="s">
        <v>184</v>
      </c>
      <c r="R35" s="6" t="s">
        <v>185</v>
      </c>
      <c r="S35" s="6" t="s">
        <v>217</v>
      </c>
      <c r="T35" s="6" t="s">
        <v>68</v>
      </c>
      <c r="U35" s="6" t="s">
        <v>187</v>
      </c>
      <c r="V35" s="12" t="s">
        <v>18</v>
      </c>
      <c r="W35" s="6" t="s">
        <v>168</v>
      </c>
      <c r="X35" s="6" t="s">
        <v>410</v>
      </c>
    </row>
    <row r="36" customFormat="false" ht="33.75" hidden="false" customHeight="true" outlineLevel="0" collapsed="false">
      <c r="A36" s="5" t="s">
        <v>512</v>
      </c>
      <c r="B36" s="6" t="s">
        <v>50</v>
      </c>
      <c r="C36" s="6" t="s">
        <v>513</v>
      </c>
      <c r="D36" s="6" t="s">
        <v>514</v>
      </c>
      <c r="E36" s="6" t="s">
        <v>515</v>
      </c>
      <c r="F36" s="6" t="s">
        <v>516</v>
      </c>
      <c r="G36" s="6" t="s">
        <v>517</v>
      </c>
      <c r="H36" s="6" t="s">
        <v>518</v>
      </c>
      <c r="I36" s="6" t="s">
        <v>519</v>
      </c>
      <c r="J36" s="6" t="s">
        <v>520</v>
      </c>
      <c r="K36" s="6" t="s">
        <v>521</v>
      </c>
      <c r="L36" s="6" t="s">
        <v>341</v>
      </c>
      <c r="M36" s="6" t="s">
        <v>522</v>
      </c>
      <c r="N36" s="6" t="s">
        <v>523</v>
      </c>
      <c r="O36" s="6" t="s">
        <v>524</v>
      </c>
      <c r="P36" s="6" t="s">
        <v>525</v>
      </c>
      <c r="Q36" s="6" t="s">
        <v>526</v>
      </c>
      <c r="R36" s="6" t="s">
        <v>527</v>
      </c>
      <c r="S36" s="6" t="s">
        <v>528</v>
      </c>
      <c r="T36" s="6" t="s">
        <v>529</v>
      </c>
      <c r="U36" s="6" t="s">
        <v>530</v>
      </c>
      <c r="V36" s="11" t="s">
        <v>17</v>
      </c>
      <c r="W36" s="6"/>
      <c r="X36" s="6" t="s">
        <v>531</v>
      </c>
    </row>
    <row r="37" customFormat="false" ht="33.75" hidden="false" customHeight="true" outlineLevel="0" collapsed="false">
      <c r="A37" s="5" t="s">
        <v>532</v>
      </c>
      <c r="B37" s="6" t="s">
        <v>50</v>
      </c>
      <c r="C37" s="6" t="s">
        <v>513</v>
      </c>
      <c r="D37" s="6" t="s">
        <v>533</v>
      </c>
      <c r="E37" s="6" t="s">
        <v>534</v>
      </c>
      <c r="F37" s="6" t="s">
        <v>535</v>
      </c>
      <c r="G37" s="6" t="s">
        <v>536</v>
      </c>
      <c r="H37" s="6" t="s">
        <v>537</v>
      </c>
      <c r="I37" s="6" t="s">
        <v>538</v>
      </c>
      <c r="J37" s="6" t="s">
        <v>539</v>
      </c>
      <c r="K37" s="6" t="s">
        <v>540</v>
      </c>
      <c r="L37" s="6" t="s">
        <v>541</v>
      </c>
      <c r="M37" s="6" t="s">
        <v>542</v>
      </c>
      <c r="N37" s="6" t="s">
        <v>543</v>
      </c>
      <c r="O37" s="6" t="s">
        <v>544</v>
      </c>
      <c r="P37" s="6" t="s">
        <v>526</v>
      </c>
      <c r="Q37" s="6" t="s">
        <v>526</v>
      </c>
      <c r="R37" s="6" t="s">
        <v>545</v>
      </c>
      <c r="S37" s="6" t="s">
        <v>546</v>
      </c>
      <c r="T37" s="6" t="s">
        <v>529</v>
      </c>
      <c r="U37" s="6" t="s">
        <v>547</v>
      </c>
      <c r="V37" s="11" t="s">
        <v>17</v>
      </c>
      <c r="W37" s="6"/>
      <c r="X37" s="6" t="s">
        <v>548</v>
      </c>
    </row>
    <row r="38" customFormat="false" ht="33.75" hidden="false" customHeight="true" outlineLevel="0" collapsed="false">
      <c r="A38" s="5" t="s">
        <v>549</v>
      </c>
      <c r="B38" s="6" t="s">
        <v>171</v>
      </c>
      <c r="C38" s="6" t="s">
        <v>513</v>
      </c>
      <c r="D38" s="6" t="s">
        <v>550</v>
      </c>
      <c r="E38" s="6" t="s">
        <v>551</v>
      </c>
      <c r="F38" s="6" t="s">
        <v>552</v>
      </c>
      <c r="G38" s="6" t="s">
        <v>553</v>
      </c>
      <c r="H38" s="6" t="s">
        <v>554</v>
      </c>
      <c r="I38" s="6" t="s">
        <v>555</v>
      </c>
      <c r="J38" s="6" t="s">
        <v>556</v>
      </c>
      <c r="K38" s="6" t="s">
        <v>557</v>
      </c>
      <c r="L38" s="6" t="s">
        <v>558</v>
      </c>
      <c r="M38" s="6" t="s">
        <v>559</v>
      </c>
      <c r="N38" s="6" t="s">
        <v>560</v>
      </c>
      <c r="O38" s="6" t="s">
        <v>85</v>
      </c>
      <c r="P38" s="6" t="s">
        <v>561</v>
      </c>
      <c r="Q38" s="6" t="s">
        <v>562</v>
      </c>
      <c r="R38" s="6" t="s">
        <v>563</v>
      </c>
      <c r="S38" s="6" t="s">
        <v>564</v>
      </c>
      <c r="T38" s="6" t="s">
        <v>529</v>
      </c>
      <c r="U38" s="6" t="s">
        <v>187</v>
      </c>
      <c r="V38" s="11" t="s">
        <v>17</v>
      </c>
      <c r="W38" s="6"/>
      <c r="X38" s="6" t="s">
        <v>565</v>
      </c>
    </row>
    <row r="39" customFormat="false" ht="33.75" hidden="false" customHeight="true" outlineLevel="0" collapsed="false">
      <c r="A39" s="5" t="s">
        <v>566</v>
      </c>
      <c r="B39" s="6" t="s">
        <v>171</v>
      </c>
      <c r="C39" s="6" t="s">
        <v>513</v>
      </c>
      <c r="D39" s="6" t="s">
        <v>567</v>
      </c>
      <c r="E39" s="6" t="s">
        <v>568</v>
      </c>
      <c r="F39" s="6" t="s">
        <v>569</v>
      </c>
      <c r="G39" s="6" t="s">
        <v>570</v>
      </c>
      <c r="H39" s="6" t="s">
        <v>554</v>
      </c>
      <c r="I39" s="6" t="s">
        <v>571</v>
      </c>
      <c r="J39" s="6" t="s">
        <v>572</v>
      </c>
      <c r="K39" s="6" t="s">
        <v>573</v>
      </c>
      <c r="L39" s="6" t="s">
        <v>574</v>
      </c>
      <c r="M39" s="6" t="s">
        <v>575</v>
      </c>
      <c r="N39" s="6" t="s">
        <v>576</v>
      </c>
      <c r="O39" s="6" t="s">
        <v>85</v>
      </c>
      <c r="P39" s="6" t="s">
        <v>526</v>
      </c>
      <c r="Q39" s="6" t="s">
        <v>526</v>
      </c>
      <c r="R39" s="6" t="s">
        <v>563</v>
      </c>
      <c r="S39" s="6" t="s">
        <v>577</v>
      </c>
      <c r="T39" s="6" t="s">
        <v>529</v>
      </c>
      <c r="U39" s="6" t="s">
        <v>187</v>
      </c>
      <c r="V39" s="11" t="s">
        <v>17</v>
      </c>
      <c r="W39" s="6"/>
      <c r="X39" s="6" t="s">
        <v>578</v>
      </c>
    </row>
    <row r="40" customFormat="false" ht="33.75" hidden="false" customHeight="true" outlineLevel="0" collapsed="false">
      <c r="A40" s="5" t="s">
        <v>579</v>
      </c>
      <c r="B40" s="6" t="s">
        <v>50</v>
      </c>
      <c r="C40" s="6" t="s">
        <v>513</v>
      </c>
      <c r="D40" s="6" t="s">
        <v>580</v>
      </c>
      <c r="E40" s="6" t="s">
        <v>581</v>
      </c>
      <c r="F40" s="6" t="s">
        <v>582</v>
      </c>
      <c r="G40" s="6" t="s">
        <v>583</v>
      </c>
      <c r="H40" s="6" t="s">
        <v>584</v>
      </c>
      <c r="I40" s="6" t="s">
        <v>585</v>
      </c>
      <c r="J40" s="6" t="s">
        <v>586</v>
      </c>
      <c r="K40" s="6" t="s">
        <v>587</v>
      </c>
      <c r="L40" s="6" t="s">
        <v>588</v>
      </c>
      <c r="M40" s="6" t="s">
        <v>589</v>
      </c>
      <c r="N40" s="6" t="s">
        <v>590</v>
      </c>
      <c r="O40" s="6" t="s">
        <v>560</v>
      </c>
      <c r="P40" s="6" t="s">
        <v>591</v>
      </c>
      <c r="Q40" s="6" t="s">
        <v>592</v>
      </c>
      <c r="R40" s="6" t="s">
        <v>593</v>
      </c>
      <c r="S40" s="6" t="s">
        <v>594</v>
      </c>
      <c r="T40" s="6" t="s">
        <v>529</v>
      </c>
      <c r="U40" s="6" t="s">
        <v>595</v>
      </c>
      <c r="V40" s="11" t="s">
        <v>17</v>
      </c>
      <c r="W40" s="6"/>
      <c r="X40" s="6" t="s">
        <v>596</v>
      </c>
    </row>
    <row r="41" customFormat="false" ht="33.75" hidden="false" customHeight="true" outlineLevel="0" collapsed="false">
      <c r="A41" s="5" t="s">
        <v>597</v>
      </c>
      <c r="B41" s="6" t="s">
        <v>50</v>
      </c>
      <c r="C41" s="6" t="s">
        <v>598</v>
      </c>
      <c r="D41" s="6" t="s">
        <v>599</v>
      </c>
      <c r="E41" s="6" t="s">
        <v>600</v>
      </c>
      <c r="F41" s="6" t="s">
        <v>601</v>
      </c>
      <c r="G41" s="6" t="s">
        <v>602</v>
      </c>
      <c r="H41" s="6" t="s">
        <v>603</v>
      </c>
      <c r="I41" s="6" t="s">
        <v>604</v>
      </c>
      <c r="J41" s="6" t="s">
        <v>605</v>
      </c>
      <c r="K41" s="6" t="s">
        <v>606</v>
      </c>
      <c r="L41" s="6" t="s">
        <v>341</v>
      </c>
      <c r="M41" s="6" t="s">
        <v>607</v>
      </c>
      <c r="N41" s="6" t="s">
        <v>608</v>
      </c>
      <c r="O41" s="6" t="s">
        <v>609</v>
      </c>
      <c r="P41" s="6" t="s">
        <v>610</v>
      </c>
      <c r="Q41" s="6" t="s">
        <v>611</v>
      </c>
      <c r="R41" s="6" t="s">
        <v>612</v>
      </c>
      <c r="S41" s="6" t="s">
        <v>613</v>
      </c>
      <c r="T41" s="6" t="s">
        <v>68</v>
      </c>
      <c r="U41" s="6" t="s">
        <v>614</v>
      </c>
      <c r="V41" s="12" t="s">
        <v>18</v>
      </c>
      <c r="W41" s="6" t="s">
        <v>615</v>
      </c>
      <c r="X41" s="6" t="s">
        <v>616</v>
      </c>
    </row>
    <row r="42" customFormat="false" ht="33.75" hidden="false" customHeight="true" outlineLevel="0" collapsed="false">
      <c r="A42" s="5" t="s">
        <v>617</v>
      </c>
      <c r="B42" s="6" t="s">
        <v>50</v>
      </c>
      <c r="C42" s="6" t="s">
        <v>598</v>
      </c>
      <c r="D42" s="6" t="s">
        <v>618</v>
      </c>
      <c r="E42" s="6" t="s">
        <v>619</v>
      </c>
      <c r="F42" s="6" t="s">
        <v>620</v>
      </c>
      <c r="G42" s="6" t="s">
        <v>621</v>
      </c>
      <c r="H42" s="6" t="s">
        <v>622</v>
      </c>
      <c r="I42" s="6" t="s">
        <v>623</v>
      </c>
      <c r="J42" s="6" t="s">
        <v>624</v>
      </c>
      <c r="K42" s="6" t="s">
        <v>625</v>
      </c>
      <c r="L42" s="6" t="s">
        <v>341</v>
      </c>
      <c r="M42" s="6" t="s">
        <v>626</v>
      </c>
      <c r="N42" s="6" t="s">
        <v>627</v>
      </c>
      <c r="O42" s="6" t="s">
        <v>628</v>
      </c>
      <c r="P42" s="6" t="s">
        <v>629</v>
      </c>
      <c r="Q42" s="6" t="s">
        <v>107</v>
      </c>
      <c r="R42" s="6" t="s">
        <v>630</v>
      </c>
      <c r="S42" s="6" t="s">
        <v>631</v>
      </c>
      <c r="T42" s="6" t="s">
        <v>68</v>
      </c>
      <c r="U42" s="6" t="s">
        <v>632</v>
      </c>
      <c r="V42" s="11" t="s">
        <v>17</v>
      </c>
      <c r="W42" s="6"/>
      <c r="X42" s="6" t="s">
        <v>633</v>
      </c>
    </row>
    <row r="43" customFormat="false" ht="33.75" hidden="false" customHeight="true" outlineLevel="0" collapsed="false">
      <c r="A43" s="5" t="s">
        <v>634</v>
      </c>
      <c r="B43" s="6" t="s">
        <v>171</v>
      </c>
      <c r="C43" s="6" t="s">
        <v>635</v>
      </c>
      <c r="D43" s="6" t="s">
        <v>636</v>
      </c>
      <c r="E43" s="6" t="s">
        <v>637</v>
      </c>
      <c r="F43" s="6" t="s">
        <v>638</v>
      </c>
      <c r="G43" s="6" t="s">
        <v>639</v>
      </c>
      <c r="H43" s="6" t="s">
        <v>639</v>
      </c>
      <c r="I43" s="6" t="s">
        <v>640</v>
      </c>
      <c r="J43" s="6" t="s">
        <v>641</v>
      </c>
      <c r="K43" s="6" t="s">
        <v>642</v>
      </c>
      <c r="L43" s="6" t="s">
        <v>341</v>
      </c>
      <c r="M43" s="6" t="s">
        <v>643</v>
      </c>
      <c r="N43" s="6" t="s">
        <v>644</v>
      </c>
      <c r="O43" s="6" t="s">
        <v>645</v>
      </c>
      <c r="P43" s="6" t="s">
        <v>646</v>
      </c>
      <c r="Q43" s="6" t="s">
        <v>647</v>
      </c>
      <c r="R43" s="6" t="s">
        <v>648</v>
      </c>
      <c r="S43" s="6" t="s">
        <v>649</v>
      </c>
      <c r="T43" s="6" t="s">
        <v>68</v>
      </c>
      <c r="U43" s="6" t="s">
        <v>650</v>
      </c>
      <c r="V43" s="12" t="s">
        <v>18</v>
      </c>
      <c r="W43" s="6" t="s">
        <v>651</v>
      </c>
      <c r="X43" s="6" t="s">
        <v>652</v>
      </c>
    </row>
    <row r="44" customFormat="false" ht="33.75" hidden="false" customHeight="true" outlineLevel="0" collapsed="false">
      <c r="A44" s="5" t="s">
        <v>653</v>
      </c>
      <c r="B44" s="6" t="s">
        <v>50</v>
      </c>
      <c r="C44" s="6" t="s">
        <v>654</v>
      </c>
      <c r="D44" s="6" t="s">
        <v>655</v>
      </c>
      <c r="E44" s="6" t="s">
        <v>656</v>
      </c>
      <c r="F44" s="6" t="s">
        <v>657</v>
      </c>
      <c r="G44" s="6" t="s">
        <v>639</v>
      </c>
      <c r="H44" s="6" t="s">
        <v>639</v>
      </c>
      <c r="I44" s="6" t="s">
        <v>639</v>
      </c>
      <c r="J44" s="6" t="s">
        <v>658</v>
      </c>
      <c r="K44" s="6" t="s">
        <v>659</v>
      </c>
      <c r="L44" s="6" t="s">
        <v>660</v>
      </c>
      <c r="M44" s="6" t="s">
        <v>661</v>
      </c>
      <c r="N44" s="6" t="s">
        <v>662</v>
      </c>
      <c r="O44" s="6" t="s">
        <v>663</v>
      </c>
      <c r="P44" s="6" t="s">
        <v>664</v>
      </c>
      <c r="Q44" s="6" t="s">
        <v>665</v>
      </c>
      <c r="R44" s="6" t="s">
        <v>666</v>
      </c>
      <c r="S44" s="6" t="s">
        <v>667</v>
      </c>
      <c r="T44" s="6" t="s">
        <v>68</v>
      </c>
      <c r="U44" s="6" t="s">
        <v>149</v>
      </c>
      <c r="V44" s="11" t="s">
        <v>17</v>
      </c>
      <c r="W44" s="6"/>
      <c r="X44" s="6" t="s">
        <v>668</v>
      </c>
    </row>
    <row r="45" customFormat="false" ht="33.75" hidden="false" customHeight="true" outlineLevel="0" collapsed="false">
      <c r="A45" s="5" t="s">
        <v>669</v>
      </c>
      <c r="B45" s="6" t="s">
        <v>50</v>
      </c>
      <c r="C45" s="6" t="s">
        <v>654</v>
      </c>
      <c r="D45" s="6" t="s">
        <v>670</v>
      </c>
      <c r="E45" s="6" t="s">
        <v>671</v>
      </c>
      <c r="F45" s="6" t="s">
        <v>672</v>
      </c>
      <c r="G45" s="6" t="s">
        <v>639</v>
      </c>
      <c r="H45" s="6" t="s">
        <v>639</v>
      </c>
      <c r="I45" s="6" t="s">
        <v>639</v>
      </c>
      <c r="J45" s="6" t="s">
        <v>673</v>
      </c>
      <c r="K45" s="6" t="s">
        <v>674</v>
      </c>
      <c r="L45" s="6" t="s">
        <v>675</v>
      </c>
      <c r="M45" s="6" t="s">
        <v>198</v>
      </c>
      <c r="N45" s="6" t="s">
        <v>676</v>
      </c>
      <c r="O45" s="6" t="s">
        <v>677</v>
      </c>
      <c r="P45" s="6" t="s">
        <v>678</v>
      </c>
      <c r="Q45" s="6" t="s">
        <v>679</v>
      </c>
      <c r="R45" s="6" t="s">
        <v>680</v>
      </c>
      <c r="S45" s="6" t="s">
        <v>681</v>
      </c>
      <c r="T45" s="6" t="s">
        <v>68</v>
      </c>
      <c r="U45" s="6" t="s">
        <v>682</v>
      </c>
      <c r="V45" s="12" t="s">
        <v>18</v>
      </c>
      <c r="W45" s="6" t="s">
        <v>683</v>
      </c>
      <c r="X45" s="6" t="s">
        <v>684</v>
      </c>
    </row>
    <row r="46" customFormat="false" ht="33.75" hidden="false" customHeight="true" outlineLevel="0" collapsed="false">
      <c r="A46" s="5" t="s">
        <v>685</v>
      </c>
      <c r="B46" s="6" t="s">
        <v>50</v>
      </c>
      <c r="C46" s="6" t="s">
        <v>686</v>
      </c>
      <c r="D46" s="6" t="s">
        <v>687</v>
      </c>
      <c r="E46" s="6" t="s">
        <v>688</v>
      </c>
      <c r="F46" s="6" t="s">
        <v>689</v>
      </c>
      <c r="G46" s="6" t="s">
        <v>639</v>
      </c>
      <c r="H46" s="6" t="s">
        <v>639</v>
      </c>
      <c r="I46" s="6" t="s">
        <v>690</v>
      </c>
      <c r="J46" s="6" t="s">
        <v>691</v>
      </c>
      <c r="K46" s="6" t="s">
        <v>692</v>
      </c>
      <c r="L46" s="6" t="s">
        <v>693</v>
      </c>
      <c r="M46" s="6" t="s">
        <v>694</v>
      </c>
      <c r="N46" s="6" t="s">
        <v>695</v>
      </c>
      <c r="O46" s="6" t="s">
        <v>696</v>
      </c>
      <c r="P46" s="6" t="s">
        <v>697</v>
      </c>
      <c r="Q46" s="6" t="s">
        <v>698</v>
      </c>
      <c r="R46" s="6" t="s">
        <v>699</v>
      </c>
      <c r="S46" s="6" t="s">
        <v>700</v>
      </c>
      <c r="T46" s="6" t="s">
        <v>68</v>
      </c>
      <c r="U46" s="6" t="s">
        <v>701</v>
      </c>
      <c r="V46" s="11" t="s">
        <v>17</v>
      </c>
      <c r="W46" s="6"/>
      <c r="X46" s="6" t="s">
        <v>702</v>
      </c>
    </row>
    <row r="47" customFormat="false" ht="33.75" hidden="false" customHeight="true" outlineLevel="0" collapsed="false">
      <c r="A47" s="5" t="s">
        <v>703</v>
      </c>
      <c r="B47" s="6" t="s">
        <v>50</v>
      </c>
      <c r="C47" s="6" t="s">
        <v>686</v>
      </c>
      <c r="D47" s="6" t="s">
        <v>704</v>
      </c>
      <c r="E47" s="6" t="s">
        <v>705</v>
      </c>
      <c r="F47" s="6" t="s">
        <v>706</v>
      </c>
      <c r="G47" s="6" t="s">
        <v>639</v>
      </c>
      <c r="H47" s="6" t="s">
        <v>639</v>
      </c>
      <c r="I47" s="6" t="s">
        <v>707</v>
      </c>
      <c r="J47" s="6" t="s">
        <v>708</v>
      </c>
      <c r="K47" s="6" t="s">
        <v>709</v>
      </c>
      <c r="L47" s="6" t="s">
        <v>406</v>
      </c>
      <c r="M47" s="6" t="s">
        <v>694</v>
      </c>
      <c r="N47" s="6" t="s">
        <v>710</v>
      </c>
      <c r="O47" s="6" t="s">
        <v>711</v>
      </c>
      <c r="P47" s="6" t="s">
        <v>712</v>
      </c>
      <c r="Q47" s="6" t="s">
        <v>713</v>
      </c>
      <c r="R47" s="6" t="s">
        <v>714</v>
      </c>
      <c r="S47" s="6" t="s">
        <v>715</v>
      </c>
      <c r="T47" s="6" t="s">
        <v>68</v>
      </c>
      <c r="U47" s="6" t="s">
        <v>716</v>
      </c>
      <c r="V47" s="12" t="s">
        <v>18</v>
      </c>
      <c r="W47" s="6" t="s">
        <v>396</v>
      </c>
      <c r="X47" s="6" t="s">
        <v>717</v>
      </c>
    </row>
    <row r="48" customFormat="false" ht="33.75" hidden="false" customHeight="true" outlineLevel="0" collapsed="false">
      <c r="A48" s="5" t="s">
        <v>718</v>
      </c>
      <c r="B48" s="6" t="s">
        <v>50</v>
      </c>
      <c r="C48" s="6" t="s">
        <v>719</v>
      </c>
      <c r="D48" s="6" t="s">
        <v>720</v>
      </c>
      <c r="E48" s="6" t="s">
        <v>721</v>
      </c>
      <c r="F48" s="6" t="s">
        <v>722</v>
      </c>
      <c r="G48" s="6" t="s">
        <v>639</v>
      </c>
      <c r="H48" s="6" t="s">
        <v>639</v>
      </c>
      <c r="I48" s="6" t="s">
        <v>723</v>
      </c>
      <c r="J48" s="6" t="s">
        <v>724</v>
      </c>
      <c r="K48" s="6" t="s">
        <v>725</v>
      </c>
      <c r="L48" s="6" t="s">
        <v>726</v>
      </c>
      <c r="M48" s="6" t="s">
        <v>727</v>
      </c>
      <c r="N48" s="6" t="s">
        <v>728</v>
      </c>
      <c r="O48" s="6" t="s">
        <v>729</v>
      </c>
      <c r="P48" s="6" t="s">
        <v>730</v>
      </c>
      <c r="Q48" s="6" t="s">
        <v>731</v>
      </c>
      <c r="R48" s="6" t="s">
        <v>732</v>
      </c>
      <c r="S48" s="6" t="s">
        <v>733</v>
      </c>
      <c r="T48" s="6" t="s">
        <v>68</v>
      </c>
      <c r="U48" s="6" t="s">
        <v>734</v>
      </c>
      <c r="V48" s="12" t="s">
        <v>18</v>
      </c>
      <c r="W48" s="6" t="s">
        <v>168</v>
      </c>
      <c r="X48" s="6" t="s">
        <v>735</v>
      </c>
    </row>
    <row r="49" customFormat="false" ht="33.75" hidden="false" customHeight="true" outlineLevel="0" collapsed="false">
      <c r="A49" s="5" t="s">
        <v>736</v>
      </c>
      <c r="B49" s="6" t="s">
        <v>50</v>
      </c>
      <c r="C49" s="6" t="s">
        <v>737</v>
      </c>
      <c r="D49" s="6" t="s">
        <v>738</v>
      </c>
      <c r="E49" s="6" t="s">
        <v>739</v>
      </c>
      <c r="F49" s="6" t="s">
        <v>740</v>
      </c>
      <c r="G49" s="6" t="s">
        <v>639</v>
      </c>
      <c r="H49" s="6" t="s">
        <v>639</v>
      </c>
      <c r="I49" s="6" t="s">
        <v>741</v>
      </c>
      <c r="J49" s="6" t="s">
        <v>742</v>
      </c>
      <c r="K49" s="6" t="s">
        <v>743</v>
      </c>
      <c r="L49" s="6" t="s">
        <v>406</v>
      </c>
      <c r="M49" s="6" t="s">
        <v>694</v>
      </c>
      <c r="N49" s="6" t="s">
        <v>744</v>
      </c>
      <c r="O49" s="6" t="s">
        <v>745</v>
      </c>
      <c r="P49" s="6" t="s">
        <v>746</v>
      </c>
      <c r="Q49" s="6" t="s">
        <v>747</v>
      </c>
      <c r="R49" s="6" t="s">
        <v>748</v>
      </c>
      <c r="S49" s="6" t="s">
        <v>749</v>
      </c>
      <c r="T49" s="6" t="s">
        <v>68</v>
      </c>
      <c r="U49" s="6" t="s">
        <v>750</v>
      </c>
      <c r="V49" s="12" t="s">
        <v>18</v>
      </c>
      <c r="W49" s="6" t="s">
        <v>168</v>
      </c>
      <c r="X49" s="6" t="s">
        <v>751</v>
      </c>
    </row>
    <row r="50" customFormat="false" ht="33.75" hidden="false" customHeight="true" outlineLevel="0" collapsed="false">
      <c r="A50" s="5" t="s">
        <v>752</v>
      </c>
      <c r="B50" s="6" t="s">
        <v>50</v>
      </c>
      <c r="C50" s="6" t="s">
        <v>737</v>
      </c>
      <c r="D50" s="6" t="s">
        <v>753</v>
      </c>
      <c r="E50" s="6" t="s">
        <v>754</v>
      </c>
      <c r="F50" s="6" t="s">
        <v>755</v>
      </c>
      <c r="G50" s="6" t="s">
        <v>639</v>
      </c>
      <c r="H50" s="6" t="s">
        <v>639</v>
      </c>
      <c r="I50" s="6" t="s">
        <v>756</v>
      </c>
      <c r="J50" s="6" t="s">
        <v>757</v>
      </c>
      <c r="K50" s="6" t="s">
        <v>758</v>
      </c>
      <c r="L50" s="6" t="s">
        <v>406</v>
      </c>
      <c r="M50" s="6" t="s">
        <v>639</v>
      </c>
      <c r="N50" s="6" t="s">
        <v>759</v>
      </c>
      <c r="O50" s="6" t="s">
        <v>760</v>
      </c>
      <c r="P50" s="6" t="s">
        <v>761</v>
      </c>
      <c r="Q50" s="6" t="s">
        <v>762</v>
      </c>
      <c r="R50" s="6" t="s">
        <v>763</v>
      </c>
      <c r="S50" s="6" t="s">
        <v>764</v>
      </c>
      <c r="T50" s="6" t="s">
        <v>529</v>
      </c>
      <c r="U50" s="6" t="s">
        <v>765</v>
      </c>
      <c r="V50" s="12" t="s">
        <v>18</v>
      </c>
      <c r="W50" s="6" t="s">
        <v>168</v>
      </c>
      <c r="X50" s="6" t="s">
        <v>766</v>
      </c>
    </row>
    <row r="51" customFormat="false" ht="33.75" hidden="false" customHeight="true" outlineLevel="0" collapsed="false">
      <c r="A51" s="5" t="s">
        <v>767</v>
      </c>
      <c r="B51" s="6" t="s">
        <v>171</v>
      </c>
      <c r="C51" s="6" t="s">
        <v>768</v>
      </c>
      <c r="D51" s="6" t="s">
        <v>769</v>
      </c>
      <c r="E51" s="6" t="s">
        <v>770</v>
      </c>
      <c r="F51" s="6" t="s">
        <v>771</v>
      </c>
      <c r="G51" s="6" t="s">
        <v>639</v>
      </c>
      <c r="H51" s="6" t="s">
        <v>772</v>
      </c>
      <c r="I51" s="6" t="s">
        <v>773</v>
      </c>
      <c r="J51" s="6" t="s">
        <v>774</v>
      </c>
      <c r="K51" s="6" t="s">
        <v>775</v>
      </c>
      <c r="L51" s="6" t="s">
        <v>639</v>
      </c>
      <c r="M51" s="6" t="s">
        <v>776</v>
      </c>
      <c r="N51" s="6" t="s">
        <v>777</v>
      </c>
      <c r="O51" s="6" t="s">
        <v>778</v>
      </c>
      <c r="P51" s="6" t="s">
        <v>779</v>
      </c>
      <c r="Q51" s="6" t="s">
        <v>780</v>
      </c>
      <c r="R51" s="6" t="s">
        <v>781</v>
      </c>
      <c r="S51" s="6" t="s">
        <v>782</v>
      </c>
      <c r="T51" s="6" t="s">
        <v>529</v>
      </c>
      <c r="U51" s="6" t="s">
        <v>783</v>
      </c>
      <c r="V51" s="11" t="s">
        <v>17</v>
      </c>
      <c r="W51" s="6"/>
      <c r="X51" s="6" t="s">
        <v>784</v>
      </c>
    </row>
    <row r="52" customFormat="false" ht="33.75" hidden="false" customHeight="true" outlineLevel="0" collapsed="false">
      <c r="A52" s="5" t="s">
        <v>785</v>
      </c>
      <c r="B52" s="6" t="s">
        <v>171</v>
      </c>
      <c r="C52" s="6" t="s">
        <v>786</v>
      </c>
      <c r="D52" s="6" t="s">
        <v>787</v>
      </c>
      <c r="E52" s="6" t="s">
        <v>788</v>
      </c>
      <c r="F52" s="6" t="s">
        <v>789</v>
      </c>
      <c r="G52" s="6" t="s">
        <v>790</v>
      </c>
      <c r="H52" s="6" t="s">
        <v>77</v>
      </c>
      <c r="I52" s="6" t="s">
        <v>791</v>
      </c>
      <c r="J52" s="6" t="s">
        <v>792</v>
      </c>
      <c r="K52" s="6" t="s">
        <v>793</v>
      </c>
      <c r="L52" s="6" t="s">
        <v>341</v>
      </c>
      <c r="M52" s="6" t="s">
        <v>198</v>
      </c>
      <c r="N52" s="6" t="s">
        <v>794</v>
      </c>
      <c r="O52" s="6" t="s">
        <v>795</v>
      </c>
      <c r="P52" s="6" t="s">
        <v>525</v>
      </c>
      <c r="Q52" s="6" t="s">
        <v>796</v>
      </c>
      <c r="R52" s="6" t="s">
        <v>797</v>
      </c>
      <c r="S52" s="6" t="s">
        <v>798</v>
      </c>
      <c r="T52" s="6" t="s">
        <v>529</v>
      </c>
      <c r="U52" s="6" t="s">
        <v>799</v>
      </c>
      <c r="V52" s="12" t="s">
        <v>18</v>
      </c>
      <c r="W52" s="6" t="s">
        <v>800</v>
      </c>
      <c r="X52" s="6" t="s">
        <v>801</v>
      </c>
    </row>
    <row r="53" customFormat="false" ht="33.75" hidden="false" customHeight="true" outlineLevel="0" collapsed="false">
      <c r="A53" s="5" t="s">
        <v>802</v>
      </c>
      <c r="B53" s="6" t="s">
        <v>171</v>
      </c>
      <c r="C53" s="6" t="s">
        <v>803</v>
      </c>
      <c r="D53" s="6" t="s">
        <v>804</v>
      </c>
      <c r="E53" s="6" t="s">
        <v>805</v>
      </c>
      <c r="F53" s="6" t="s">
        <v>806</v>
      </c>
      <c r="G53" s="6" t="s">
        <v>639</v>
      </c>
      <c r="H53" s="6" t="s">
        <v>639</v>
      </c>
      <c r="I53" s="6" t="s">
        <v>639</v>
      </c>
      <c r="J53" s="6" t="s">
        <v>639</v>
      </c>
      <c r="K53" s="6" t="s">
        <v>639</v>
      </c>
      <c r="L53" s="6" t="s">
        <v>639</v>
      </c>
      <c r="M53" s="6" t="s">
        <v>639</v>
      </c>
      <c r="N53" s="6" t="s">
        <v>807</v>
      </c>
      <c r="O53" s="6" t="s">
        <v>808</v>
      </c>
      <c r="P53" s="6" t="s">
        <v>809</v>
      </c>
      <c r="Q53" s="6" t="s">
        <v>810</v>
      </c>
      <c r="R53" s="6" t="s">
        <v>811</v>
      </c>
      <c r="S53" s="6" t="s">
        <v>812</v>
      </c>
      <c r="T53" s="6" t="s">
        <v>529</v>
      </c>
      <c r="U53" s="6" t="s">
        <v>813</v>
      </c>
      <c r="V53" s="11" t="s">
        <v>17</v>
      </c>
      <c r="W53" s="6"/>
      <c r="X53" s="6" t="s">
        <v>814</v>
      </c>
    </row>
    <row r="54" customFormat="false" ht="33.75" hidden="false" customHeight="true" outlineLevel="0" collapsed="false">
      <c r="A54" s="5" t="s">
        <v>815</v>
      </c>
      <c r="B54" s="6" t="s">
        <v>171</v>
      </c>
      <c r="C54" s="6" t="s">
        <v>816</v>
      </c>
      <c r="D54" s="6" t="s">
        <v>817</v>
      </c>
      <c r="E54" s="6" t="s">
        <v>818</v>
      </c>
      <c r="F54" s="6" t="s">
        <v>819</v>
      </c>
      <c r="G54" s="6" t="s">
        <v>639</v>
      </c>
      <c r="H54" s="6" t="s">
        <v>820</v>
      </c>
      <c r="I54" s="6" t="s">
        <v>821</v>
      </c>
      <c r="J54" s="6" t="s">
        <v>822</v>
      </c>
      <c r="K54" s="6" t="s">
        <v>823</v>
      </c>
      <c r="L54" s="6" t="s">
        <v>588</v>
      </c>
      <c r="M54" s="6" t="s">
        <v>588</v>
      </c>
      <c r="N54" s="6" t="s">
        <v>588</v>
      </c>
      <c r="O54" s="6" t="s">
        <v>560</v>
      </c>
      <c r="P54" s="6" t="s">
        <v>824</v>
      </c>
      <c r="Q54" s="6" t="s">
        <v>825</v>
      </c>
      <c r="R54" s="6" t="s">
        <v>826</v>
      </c>
      <c r="S54" s="6" t="s">
        <v>827</v>
      </c>
      <c r="T54" s="6" t="s">
        <v>529</v>
      </c>
      <c r="U54" s="6" t="s">
        <v>828</v>
      </c>
      <c r="V54" s="11" t="s">
        <v>17</v>
      </c>
      <c r="W54" s="6"/>
      <c r="X54" s="6" t="s">
        <v>829</v>
      </c>
    </row>
  </sheetData>
  <autoFilter ref="A4:X54"/>
  <mergeCells count="2">
    <mergeCell ref="A1:L1"/>
    <mergeCell ref="A2:L2"/>
  </mergeCells>
  <dataValidations count="1">
    <dataValidation allowBlank="true" errorStyle="stop" operator="between" showDropDown="false" showErrorMessage="false" showInputMessage="false" sqref="V5:V54" type="list">
      <formula1>"READY,BLOCKED,CONDITIONAL,NOT_RUN,PASS,FAIL"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42"/>
    <col collapsed="false" customWidth="true" hidden="false" outlineLevel="0" max="4" min="4" style="1" width="34"/>
    <col collapsed="false" customWidth="true" hidden="false" outlineLevel="0" max="5" min="5" style="1" width="52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12" min="9" style="1" width="13"/>
  </cols>
  <sheetData>
    <row r="1" customFormat="false" ht="25.5" hidden="false" customHeight="true" outlineLevel="0" collapsed="false">
      <c r="A1" s="2" t="s">
        <v>830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831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832</v>
      </c>
      <c r="B4" s="4" t="s">
        <v>833</v>
      </c>
      <c r="C4" s="4" t="s">
        <v>834</v>
      </c>
      <c r="D4" s="4" t="s">
        <v>835</v>
      </c>
      <c r="E4" s="4" t="s">
        <v>836</v>
      </c>
      <c r="F4" s="4" t="s">
        <v>837</v>
      </c>
      <c r="G4" s="4" t="s">
        <v>46</v>
      </c>
      <c r="H4" s="4" t="s">
        <v>838</v>
      </c>
    </row>
    <row r="5" customFormat="false" ht="33.75" hidden="false" customHeight="true" outlineLevel="0" collapsed="false">
      <c r="A5" s="5" t="s">
        <v>839</v>
      </c>
      <c r="B5" s="6" t="s">
        <v>840</v>
      </c>
      <c r="C5" s="6" t="s">
        <v>841</v>
      </c>
      <c r="D5" s="6" t="s">
        <v>842</v>
      </c>
      <c r="E5" s="6" t="s">
        <v>843</v>
      </c>
      <c r="F5" s="6" t="s">
        <v>49</v>
      </c>
      <c r="G5" s="6" t="s">
        <v>17</v>
      </c>
      <c r="H5" s="6"/>
    </row>
    <row r="6" customFormat="false" ht="33.75" hidden="false" customHeight="true" outlineLevel="0" collapsed="false">
      <c r="A6" s="5" t="s">
        <v>844</v>
      </c>
      <c r="B6" s="6" t="s">
        <v>845</v>
      </c>
      <c r="C6" s="6" t="s">
        <v>846</v>
      </c>
      <c r="D6" s="6" t="s">
        <v>842</v>
      </c>
      <c r="E6" s="6" t="s">
        <v>847</v>
      </c>
      <c r="F6" s="6" t="s">
        <v>71</v>
      </c>
      <c r="G6" s="6" t="s">
        <v>17</v>
      </c>
      <c r="H6" s="6"/>
    </row>
    <row r="7" customFormat="false" ht="33.75" hidden="false" customHeight="true" outlineLevel="0" collapsed="false">
      <c r="A7" s="5" t="s">
        <v>848</v>
      </c>
      <c r="B7" s="6" t="s">
        <v>849</v>
      </c>
      <c r="C7" s="6" t="s">
        <v>850</v>
      </c>
      <c r="D7" s="6" t="s">
        <v>851</v>
      </c>
      <c r="E7" s="6" t="s">
        <v>852</v>
      </c>
      <c r="F7" s="6" t="s">
        <v>49</v>
      </c>
      <c r="G7" s="6" t="s">
        <v>17</v>
      </c>
      <c r="H7" s="6"/>
    </row>
    <row r="8" customFormat="false" ht="33.75" hidden="false" customHeight="true" outlineLevel="0" collapsed="false">
      <c r="A8" s="5" t="s">
        <v>853</v>
      </c>
      <c r="B8" s="6" t="s">
        <v>854</v>
      </c>
      <c r="C8" s="6" t="s">
        <v>855</v>
      </c>
      <c r="D8" s="6" t="s">
        <v>856</v>
      </c>
      <c r="E8" s="6" t="s">
        <v>857</v>
      </c>
      <c r="F8" s="6" t="s">
        <v>132</v>
      </c>
      <c r="G8" s="6" t="s">
        <v>17</v>
      </c>
      <c r="H8" s="6"/>
    </row>
    <row r="9" customFormat="false" ht="33.75" hidden="false" customHeight="true" outlineLevel="0" collapsed="false">
      <c r="A9" s="5" t="s">
        <v>858</v>
      </c>
      <c r="B9" s="6" t="s">
        <v>859</v>
      </c>
      <c r="C9" s="6" t="s">
        <v>860</v>
      </c>
      <c r="D9" s="6" t="s">
        <v>856</v>
      </c>
      <c r="E9" s="6" t="s">
        <v>861</v>
      </c>
      <c r="F9" s="6" t="s">
        <v>170</v>
      </c>
      <c r="G9" s="6" t="s">
        <v>17</v>
      </c>
      <c r="H9" s="6"/>
    </row>
    <row r="10" customFormat="false" ht="33.75" hidden="false" customHeight="true" outlineLevel="0" collapsed="false">
      <c r="A10" s="5" t="s">
        <v>862</v>
      </c>
      <c r="B10" s="6" t="s">
        <v>863</v>
      </c>
      <c r="C10" s="6" t="s">
        <v>864</v>
      </c>
      <c r="D10" s="6" t="s">
        <v>865</v>
      </c>
      <c r="E10" s="6" t="s">
        <v>866</v>
      </c>
      <c r="F10" s="6" t="s">
        <v>189</v>
      </c>
      <c r="G10" s="6" t="s">
        <v>17</v>
      </c>
      <c r="H10" s="6"/>
    </row>
    <row r="11" customFormat="false" ht="33.75" hidden="false" customHeight="true" outlineLevel="0" collapsed="false">
      <c r="A11" s="5" t="s">
        <v>867</v>
      </c>
      <c r="B11" s="6" t="s">
        <v>868</v>
      </c>
      <c r="C11" s="6" t="s">
        <v>207</v>
      </c>
      <c r="D11" s="6" t="s">
        <v>869</v>
      </c>
      <c r="E11" s="6" t="s">
        <v>870</v>
      </c>
      <c r="F11" s="6" t="s">
        <v>204</v>
      </c>
      <c r="G11" s="6" t="s">
        <v>17</v>
      </c>
      <c r="H11" s="6"/>
    </row>
    <row r="12" customFormat="false" ht="33.75" hidden="false" customHeight="true" outlineLevel="0" collapsed="false">
      <c r="A12" s="5" t="s">
        <v>871</v>
      </c>
      <c r="B12" s="6" t="s">
        <v>872</v>
      </c>
      <c r="C12" s="6" t="s">
        <v>873</v>
      </c>
      <c r="D12" s="6" t="s">
        <v>874</v>
      </c>
      <c r="E12" s="6" t="s">
        <v>875</v>
      </c>
      <c r="F12" s="6" t="s">
        <v>219</v>
      </c>
      <c r="G12" s="6" t="s">
        <v>17</v>
      </c>
      <c r="H12" s="6"/>
    </row>
    <row r="13" customFormat="false" ht="33.75" hidden="false" customHeight="true" outlineLevel="0" collapsed="false">
      <c r="A13" s="5" t="s">
        <v>876</v>
      </c>
      <c r="B13" s="6" t="s">
        <v>877</v>
      </c>
      <c r="C13" s="6" t="s">
        <v>878</v>
      </c>
      <c r="D13" s="6" t="s">
        <v>879</v>
      </c>
      <c r="E13" s="6" t="s">
        <v>880</v>
      </c>
      <c r="F13" s="6" t="s">
        <v>232</v>
      </c>
      <c r="G13" s="6" t="s">
        <v>17</v>
      </c>
      <c r="H13" s="6"/>
    </row>
    <row r="14" customFormat="false" ht="33.75" hidden="false" customHeight="true" outlineLevel="0" collapsed="false">
      <c r="A14" s="5" t="s">
        <v>881</v>
      </c>
      <c r="B14" s="6" t="s">
        <v>882</v>
      </c>
      <c r="C14" s="6" t="s">
        <v>883</v>
      </c>
      <c r="D14" s="6" t="s">
        <v>768</v>
      </c>
      <c r="E14" s="6" t="s">
        <v>884</v>
      </c>
      <c r="F14" s="6" t="s">
        <v>92</v>
      </c>
      <c r="G14" s="6" t="s">
        <v>17</v>
      </c>
      <c r="H14" s="6"/>
    </row>
    <row r="15" customFormat="false" ht="33.75" hidden="false" customHeight="true" outlineLevel="0" collapsed="false">
      <c r="A15" s="5" t="s">
        <v>885</v>
      </c>
      <c r="B15" s="6" t="s">
        <v>886</v>
      </c>
      <c r="C15" s="6" t="s">
        <v>263</v>
      </c>
      <c r="D15" s="6" t="s">
        <v>842</v>
      </c>
      <c r="E15" s="6" t="s">
        <v>887</v>
      </c>
      <c r="F15" s="6" t="s">
        <v>261</v>
      </c>
      <c r="G15" s="6" t="s">
        <v>17</v>
      </c>
      <c r="H15" s="6"/>
    </row>
    <row r="16" customFormat="false" ht="33.75" hidden="false" customHeight="true" outlineLevel="0" collapsed="false">
      <c r="A16" s="5" t="s">
        <v>888</v>
      </c>
      <c r="B16" s="6" t="s">
        <v>889</v>
      </c>
      <c r="C16" s="6" t="s">
        <v>890</v>
      </c>
      <c r="D16" s="6" t="s">
        <v>891</v>
      </c>
      <c r="E16" s="6" t="s">
        <v>892</v>
      </c>
      <c r="F16" s="6" t="s">
        <v>274</v>
      </c>
      <c r="G16" s="6" t="s">
        <v>17</v>
      </c>
      <c r="H16" s="6"/>
    </row>
    <row r="17" customFormat="false" ht="33.75" hidden="false" customHeight="true" outlineLevel="0" collapsed="false">
      <c r="A17" s="5" t="s">
        <v>893</v>
      </c>
      <c r="B17" s="6" t="s">
        <v>894</v>
      </c>
      <c r="C17" s="6" t="s">
        <v>895</v>
      </c>
      <c r="D17" s="6" t="s">
        <v>896</v>
      </c>
      <c r="E17" s="6" t="s">
        <v>897</v>
      </c>
      <c r="F17" s="6" t="s">
        <v>288</v>
      </c>
      <c r="G17" s="6" t="s">
        <v>17</v>
      </c>
      <c r="H17" s="6"/>
    </row>
    <row r="18" customFormat="false" ht="33.75" hidden="false" customHeight="true" outlineLevel="0" collapsed="false">
      <c r="A18" s="5" t="s">
        <v>898</v>
      </c>
      <c r="B18" s="6" t="s">
        <v>899</v>
      </c>
      <c r="C18" s="6" t="s">
        <v>900</v>
      </c>
      <c r="D18" s="6" t="s">
        <v>901</v>
      </c>
      <c r="E18" s="6" t="s">
        <v>902</v>
      </c>
      <c r="F18" s="6" t="s">
        <v>302</v>
      </c>
      <c r="G18" s="6" t="s">
        <v>18</v>
      </c>
      <c r="H18" s="6" t="s">
        <v>317</v>
      </c>
    </row>
    <row r="19" customFormat="false" ht="33.75" hidden="false" customHeight="true" outlineLevel="0" collapsed="false">
      <c r="A19" s="5" t="s">
        <v>903</v>
      </c>
      <c r="B19" s="6" t="s">
        <v>904</v>
      </c>
      <c r="C19" s="6" t="s">
        <v>905</v>
      </c>
      <c r="D19" s="6" t="s">
        <v>874</v>
      </c>
      <c r="E19" s="6" t="s">
        <v>906</v>
      </c>
      <c r="F19" s="6" t="s">
        <v>112</v>
      </c>
      <c r="G19" s="6" t="s">
        <v>17</v>
      </c>
      <c r="H19" s="6"/>
    </row>
    <row r="20" customFormat="false" ht="33.75" hidden="false" customHeight="true" outlineLevel="0" collapsed="false">
      <c r="A20" s="5" t="s">
        <v>907</v>
      </c>
      <c r="B20" s="6" t="s">
        <v>908</v>
      </c>
      <c r="C20" s="6" t="s">
        <v>909</v>
      </c>
      <c r="D20" s="6" t="s">
        <v>874</v>
      </c>
      <c r="E20" s="6" t="s">
        <v>910</v>
      </c>
      <c r="F20" s="6" t="s">
        <v>319</v>
      </c>
      <c r="G20" s="6" t="s">
        <v>17</v>
      </c>
      <c r="H20" s="6"/>
    </row>
    <row r="21" customFormat="false" ht="33.75" hidden="false" customHeight="true" outlineLevel="0" collapsed="false">
      <c r="A21" s="5" t="s">
        <v>911</v>
      </c>
      <c r="B21" s="6" t="s">
        <v>912</v>
      </c>
      <c r="C21" s="6" t="s">
        <v>913</v>
      </c>
      <c r="D21" s="6" t="s">
        <v>869</v>
      </c>
      <c r="E21" s="6" t="s">
        <v>914</v>
      </c>
      <c r="F21" s="6" t="s">
        <v>332</v>
      </c>
      <c r="G21" s="6" t="s">
        <v>17</v>
      </c>
      <c r="H21" s="6"/>
    </row>
    <row r="22" customFormat="false" ht="33.75" hidden="false" customHeight="true" outlineLevel="0" collapsed="false">
      <c r="A22" s="5" t="s">
        <v>915</v>
      </c>
      <c r="B22" s="6" t="s">
        <v>916</v>
      </c>
      <c r="C22" s="6" t="s">
        <v>917</v>
      </c>
      <c r="D22" s="6" t="s">
        <v>869</v>
      </c>
      <c r="E22" s="6" t="s">
        <v>918</v>
      </c>
      <c r="F22" s="6" t="s">
        <v>346</v>
      </c>
      <c r="G22" s="6" t="s">
        <v>17</v>
      </c>
      <c r="H22" s="6"/>
    </row>
    <row r="23" customFormat="false" ht="33.75" hidden="false" customHeight="true" outlineLevel="0" collapsed="false">
      <c r="A23" s="5" t="s">
        <v>919</v>
      </c>
      <c r="B23" s="6" t="s">
        <v>920</v>
      </c>
      <c r="C23" s="6" t="s">
        <v>361</v>
      </c>
      <c r="D23" s="6" t="s">
        <v>921</v>
      </c>
      <c r="E23" s="6" t="s">
        <v>922</v>
      </c>
      <c r="F23" s="6" t="s">
        <v>360</v>
      </c>
      <c r="G23" s="6" t="s">
        <v>17</v>
      </c>
      <c r="H23" s="6"/>
    </row>
    <row r="24" customFormat="false" ht="33.75" hidden="false" customHeight="true" outlineLevel="0" collapsed="false">
      <c r="A24" s="5" t="s">
        <v>923</v>
      </c>
      <c r="B24" s="6" t="s">
        <v>924</v>
      </c>
      <c r="C24" s="6" t="s">
        <v>925</v>
      </c>
      <c r="D24" s="6" t="s">
        <v>926</v>
      </c>
      <c r="E24" s="6" t="s">
        <v>927</v>
      </c>
      <c r="F24" s="6" t="s">
        <v>372</v>
      </c>
      <c r="G24" s="6" t="s">
        <v>17</v>
      </c>
      <c r="H24" s="6"/>
    </row>
    <row r="25" customFormat="false" ht="33.75" hidden="false" customHeight="true" outlineLevel="0" collapsed="false">
      <c r="A25" s="5" t="s">
        <v>928</v>
      </c>
      <c r="B25" s="6" t="s">
        <v>929</v>
      </c>
      <c r="C25" s="6" t="s">
        <v>386</v>
      </c>
      <c r="D25" s="6" t="s">
        <v>930</v>
      </c>
      <c r="E25" s="6" t="s">
        <v>931</v>
      </c>
      <c r="F25" s="6" t="s">
        <v>384</v>
      </c>
      <c r="G25" s="6" t="s">
        <v>17</v>
      </c>
      <c r="H25" s="6"/>
    </row>
    <row r="26" customFormat="false" ht="33.75" hidden="false" customHeight="true" outlineLevel="0" collapsed="false">
      <c r="A26" s="5" t="s">
        <v>932</v>
      </c>
      <c r="B26" s="6" t="s">
        <v>933</v>
      </c>
      <c r="C26" s="6" t="s">
        <v>400</v>
      </c>
      <c r="D26" s="6" t="s">
        <v>934</v>
      </c>
      <c r="E26" s="6" t="s">
        <v>935</v>
      </c>
      <c r="F26" s="6" t="s">
        <v>398</v>
      </c>
      <c r="G26" s="6" t="s">
        <v>17</v>
      </c>
      <c r="H26" s="6"/>
    </row>
    <row r="27" customFormat="false" ht="33.75" hidden="false" customHeight="true" outlineLevel="0" collapsed="false">
      <c r="A27" s="5" t="s">
        <v>936</v>
      </c>
      <c r="B27" s="6" t="s">
        <v>937</v>
      </c>
      <c r="C27" s="6" t="s">
        <v>938</v>
      </c>
      <c r="D27" s="6" t="s">
        <v>939</v>
      </c>
      <c r="E27" s="6" t="s">
        <v>940</v>
      </c>
      <c r="F27" s="6" t="s">
        <v>92</v>
      </c>
      <c r="G27" s="6" t="s">
        <v>17</v>
      </c>
      <c r="H27" s="6"/>
    </row>
    <row r="28" customFormat="false" ht="33.75" hidden="false" customHeight="true" outlineLevel="0" collapsed="false">
      <c r="A28" s="5" t="s">
        <v>941</v>
      </c>
      <c r="B28" s="6" t="s">
        <v>942</v>
      </c>
      <c r="C28" s="6" t="s">
        <v>943</v>
      </c>
      <c r="D28" s="6" t="s">
        <v>944</v>
      </c>
      <c r="E28" s="6" t="s">
        <v>945</v>
      </c>
      <c r="F28" s="6" t="s">
        <v>71</v>
      </c>
      <c r="G28" s="6" t="s">
        <v>17</v>
      </c>
      <c r="H28" s="6"/>
    </row>
    <row r="29" customFormat="false" ht="33.75" hidden="false" customHeight="true" outlineLevel="0" collapsed="false">
      <c r="A29" s="5" t="s">
        <v>946</v>
      </c>
      <c r="B29" s="6" t="s">
        <v>947</v>
      </c>
      <c r="C29" s="6" t="s">
        <v>435</v>
      </c>
      <c r="D29" s="6" t="s">
        <v>939</v>
      </c>
      <c r="E29" s="6" t="s">
        <v>948</v>
      </c>
      <c r="F29" s="6" t="s">
        <v>433</v>
      </c>
      <c r="G29" s="6" t="s">
        <v>17</v>
      </c>
      <c r="H29" s="6"/>
    </row>
    <row r="30" customFormat="false" ht="33.75" hidden="false" customHeight="true" outlineLevel="0" collapsed="false">
      <c r="A30" s="5" t="s">
        <v>949</v>
      </c>
      <c r="B30" s="6" t="s">
        <v>950</v>
      </c>
      <c r="C30" s="6" t="s">
        <v>951</v>
      </c>
      <c r="D30" s="6" t="s">
        <v>952</v>
      </c>
      <c r="E30" s="6" t="s">
        <v>953</v>
      </c>
      <c r="F30" s="6" t="s">
        <v>444</v>
      </c>
      <c r="G30" s="6" t="s">
        <v>17</v>
      </c>
      <c r="H30" s="6"/>
    </row>
    <row r="31" customFormat="false" ht="33.75" hidden="false" customHeight="true" outlineLevel="0" collapsed="false">
      <c r="A31" s="5" t="s">
        <v>954</v>
      </c>
      <c r="B31" s="6" t="s">
        <v>955</v>
      </c>
      <c r="C31" s="6" t="s">
        <v>956</v>
      </c>
      <c r="D31" s="6" t="s">
        <v>768</v>
      </c>
      <c r="E31" s="6" t="s">
        <v>957</v>
      </c>
      <c r="F31" s="6" t="s">
        <v>457</v>
      </c>
      <c r="G31" s="6" t="s">
        <v>17</v>
      </c>
      <c r="H31" s="6"/>
    </row>
    <row r="32" customFormat="false" ht="33.75" hidden="false" customHeight="true" outlineLevel="0" collapsed="false">
      <c r="A32" s="5" t="s">
        <v>958</v>
      </c>
      <c r="B32" s="6" t="s">
        <v>959</v>
      </c>
      <c r="C32" s="6" t="s">
        <v>960</v>
      </c>
      <c r="D32" s="6" t="s">
        <v>961</v>
      </c>
      <c r="E32" s="6" t="s">
        <v>962</v>
      </c>
      <c r="F32" s="6" t="s">
        <v>471</v>
      </c>
      <c r="G32" s="6" t="s">
        <v>17</v>
      </c>
      <c r="H32" s="6"/>
    </row>
    <row r="33" customFormat="false" ht="33.75" hidden="false" customHeight="true" outlineLevel="0" collapsed="false">
      <c r="A33" s="5" t="s">
        <v>963</v>
      </c>
      <c r="B33" s="6" t="s">
        <v>964</v>
      </c>
      <c r="C33" s="6" t="s">
        <v>965</v>
      </c>
      <c r="D33" s="6" t="s">
        <v>966</v>
      </c>
      <c r="E33" s="6" t="s">
        <v>967</v>
      </c>
      <c r="F33" s="6" t="s">
        <v>486</v>
      </c>
      <c r="G33" s="6" t="s">
        <v>17</v>
      </c>
      <c r="H33" s="6"/>
    </row>
    <row r="34" customFormat="false" ht="33.75" hidden="false" customHeight="true" outlineLevel="0" collapsed="false">
      <c r="A34" s="5" t="s">
        <v>968</v>
      </c>
      <c r="B34" s="6" t="s">
        <v>969</v>
      </c>
      <c r="C34" s="6" t="s">
        <v>501</v>
      </c>
      <c r="D34" s="6" t="s">
        <v>970</v>
      </c>
      <c r="E34" s="6" t="s">
        <v>971</v>
      </c>
      <c r="F34" s="6" t="s">
        <v>49</v>
      </c>
      <c r="G34" s="6" t="s">
        <v>17</v>
      </c>
      <c r="H34" s="6"/>
    </row>
  </sheetData>
  <autoFilter ref="A4:H34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40"/>
    <col collapsed="false" customWidth="true" hidden="false" outlineLevel="0" max="7" min="7" style="1" width="42"/>
    <col collapsed="false" customWidth="true" hidden="false" outlineLevel="0" max="12" min="8" style="1" width="13"/>
  </cols>
  <sheetData>
    <row r="1" customFormat="false" ht="25.5" hidden="false" customHeight="true" outlineLevel="0" collapsed="false">
      <c r="A1" s="2" t="s">
        <v>972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973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974</v>
      </c>
      <c r="B4" s="4" t="s">
        <v>975</v>
      </c>
      <c r="C4" s="4" t="s">
        <v>976</v>
      </c>
      <c r="D4" s="4" t="s">
        <v>977</v>
      </c>
      <c r="E4" s="4" t="s">
        <v>978</v>
      </c>
      <c r="F4" s="4" t="s">
        <v>979</v>
      </c>
      <c r="G4" s="4" t="s">
        <v>980</v>
      </c>
    </row>
    <row r="5" customFormat="false" ht="33.75" hidden="false" customHeight="true" outlineLevel="0" collapsed="false">
      <c r="A5" s="5" t="s">
        <v>981</v>
      </c>
      <c r="B5" s="6" t="s">
        <v>982</v>
      </c>
      <c r="C5" s="6" t="s">
        <v>584</v>
      </c>
      <c r="D5" s="6" t="s">
        <v>68</v>
      </c>
      <c r="E5" s="6" t="s">
        <v>68</v>
      </c>
      <c r="F5" s="6" t="s">
        <v>983</v>
      </c>
      <c r="G5" s="6" t="s">
        <v>984</v>
      </c>
    </row>
    <row r="6" customFormat="false" ht="33.75" hidden="false" customHeight="true" outlineLevel="0" collapsed="false">
      <c r="A6" s="5" t="s">
        <v>985</v>
      </c>
      <c r="B6" s="6" t="s">
        <v>986</v>
      </c>
      <c r="C6" s="6" t="s">
        <v>987</v>
      </c>
      <c r="D6" s="6" t="s">
        <v>68</v>
      </c>
      <c r="E6" s="6" t="s">
        <v>68</v>
      </c>
      <c r="F6" s="6" t="s">
        <v>988</v>
      </c>
      <c r="G6" s="6" t="s">
        <v>989</v>
      </c>
    </row>
    <row r="7" customFormat="false" ht="33.75" hidden="false" customHeight="true" outlineLevel="0" collapsed="false">
      <c r="A7" s="5" t="s">
        <v>990</v>
      </c>
      <c r="B7" s="6" t="s">
        <v>991</v>
      </c>
      <c r="C7" s="6" t="s">
        <v>554</v>
      </c>
      <c r="D7" s="6" t="s">
        <v>68</v>
      </c>
      <c r="E7" s="6" t="s">
        <v>68</v>
      </c>
      <c r="F7" s="6" t="s">
        <v>992</v>
      </c>
      <c r="G7" s="6" t="s">
        <v>993</v>
      </c>
    </row>
    <row r="8" customFormat="false" ht="33.75" hidden="false" customHeight="true" outlineLevel="0" collapsed="false">
      <c r="A8" s="5" t="s">
        <v>994</v>
      </c>
      <c r="B8" s="6" t="s">
        <v>995</v>
      </c>
      <c r="C8" s="6" t="s">
        <v>554</v>
      </c>
      <c r="D8" s="6" t="s">
        <v>68</v>
      </c>
      <c r="E8" s="6" t="s">
        <v>68</v>
      </c>
      <c r="F8" s="6" t="s">
        <v>996</v>
      </c>
      <c r="G8" s="6" t="s">
        <v>997</v>
      </c>
    </row>
    <row r="9" customFormat="false" ht="33.75" hidden="false" customHeight="true" outlineLevel="0" collapsed="false">
      <c r="A9" s="5" t="s">
        <v>998</v>
      </c>
      <c r="B9" s="6" t="s">
        <v>999</v>
      </c>
      <c r="C9" s="6" t="s">
        <v>554</v>
      </c>
      <c r="D9" s="6" t="s">
        <v>68</v>
      </c>
      <c r="E9" s="6" t="s">
        <v>68</v>
      </c>
      <c r="F9" s="6" t="s">
        <v>1000</v>
      </c>
      <c r="G9" s="6" t="s">
        <v>1001</v>
      </c>
    </row>
    <row r="10" customFormat="false" ht="33.75" hidden="false" customHeight="true" outlineLevel="0" collapsed="false">
      <c r="A10" s="5" t="s">
        <v>1002</v>
      </c>
      <c r="B10" s="6" t="s">
        <v>1003</v>
      </c>
      <c r="C10" s="6" t="s">
        <v>554</v>
      </c>
      <c r="D10" s="6" t="s">
        <v>1004</v>
      </c>
      <c r="E10" s="6" t="s">
        <v>1005</v>
      </c>
      <c r="F10" s="6" t="s">
        <v>1006</v>
      </c>
      <c r="G10" s="6" t="s">
        <v>1007</v>
      </c>
    </row>
    <row r="11" customFormat="false" ht="33.75" hidden="false" customHeight="true" outlineLevel="0" collapsed="false">
      <c r="A11" s="5" t="s">
        <v>1008</v>
      </c>
      <c r="B11" s="6" t="s">
        <v>536</v>
      </c>
      <c r="C11" s="6" t="s">
        <v>1009</v>
      </c>
      <c r="D11" s="6" t="s">
        <v>1010</v>
      </c>
      <c r="E11" s="6" t="s">
        <v>1011</v>
      </c>
      <c r="F11" s="6" t="s">
        <v>1012</v>
      </c>
      <c r="G11" s="6" t="s">
        <v>1013</v>
      </c>
    </row>
    <row r="12" customFormat="false" ht="33.75" hidden="false" customHeight="true" outlineLevel="0" collapsed="false">
      <c r="A12" s="5" t="s">
        <v>1014</v>
      </c>
      <c r="B12" s="6" t="s">
        <v>1015</v>
      </c>
      <c r="C12" s="6" t="s">
        <v>584</v>
      </c>
      <c r="D12" s="6" t="s">
        <v>68</v>
      </c>
      <c r="E12" s="6" t="s">
        <v>68</v>
      </c>
      <c r="F12" s="6" t="s">
        <v>1016</v>
      </c>
      <c r="G12" s="6" t="s">
        <v>1017</v>
      </c>
    </row>
    <row r="13" customFormat="false" ht="33.75" hidden="false" customHeight="true" outlineLevel="0" collapsed="false">
      <c r="A13" s="5" t="s">
        <v>1018</v>
      </c>
      <c r="B13" s="6" t="s">
        <v>1019</v>
      </c>
      <c r="C13" s="6" t="s">
        <v>584</v>
      </c>
      <c r="D13" s="6" t="s">
        <v>68</v>
      </c>
      <c r="E13" s="6" t="s">
        <v>68</v>
      </c>
      <c r="F13" s="6" t="s">
        <v>1016</v>
      </c>
      <c r="G13" s="6" t="s">
        <v>1017</v>
      </c>
    </row>
    <row r="14" customFormat="false" ht="33.75" hidden="false" customHeight="true" outlineLevel="0" collapsed="false">
      <c r="A14" s="5" t="s">
        <v>1020</v>
      </c>
      <c r="B14" s="6" t="s">
        <v>1021</v>
      </c>
      <c r="C14" s="6" t="s">
        <v>77</v>
      </c>
      <c r="D14" s="6" t="s">
        <v>529</v>
      </c>
      <c r="E14" s="6" t="s">
        <v>1022</v>
      </c>
      <c r="F14" s="6" t="s">
        <v>1023</v>
      </c>
      <c r="G14" s="6" t="s">
        <v>1024</v>
      </c>
    </row>
    <row r="15" customFormat="false" ht="33.75" hidden="false" customHeight="true" outlineLevel="0" collapsed="false">
      <c r="A15" s="5" t="s">
        <v>1025</v>
      </c>
      <c r="B15" s="6" t="s">
        <v>1026</v>
      </c>
      <c r="C15" s="6" t="s">
        <v>118</v>
      </c>
      <c r="D15" s="6" t="s">
        <v>529</v>
      </c>
      <c r="E15" s="6" t="s">
        <v>1027</v>
      </c>
      <c r="F15" s="6" t="s">
        <v>1028</v>
      </c>
      <c r="G15" s="6" t="s">
        <v>1029</v>
      </c>
    </row>
    <row r="16" customFormat="false" ht="33.75" hidden="false" customHeight="true" outlineLevel="0" collapsed="false">
      <c r="A16" s="5" t="s">
        <v>1030</v>
      </c>
      <c r="B16" s="6" t="s">
        <v>1031</v>
      </c>
      <c r="C16" s="6" t="s">
        <v>118</v>
      </c>
      <c r="D16" s="6" t="s">
        <v>529</v>
      </c>
      <c r="E16" s="6" t="s">
        <v>1032</v>
      </c>
      <c r="F16" s="6" t="s">
        <v>341</v>
      </c>
      <c r="G16" s="6" t="s">
        <v>1033</v>
      </c>
    </row>
  </sheetData>
  <autoFilter ref="A4:G16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78"/>
    <col collapsed="false" customWidth="true" hidden="false" outlineLevel="0" max="4" min="4" style="1" width="48"/>
    <col collapsed="false" customWidth="true" hidden="false" outlineLevel="0" max="12" min="5" style="1" width="13"/>
  </cols>
  <sheetData>
    <row r="1" customFormat="false" ht="25.5" hidden="false" customHeight="true" outlineLevel="0" collapsed="false">
      <c r="A1" s="2" t="s">
        <v>1034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1035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1036</v>
      </c>
      <c r="B4" s="4" t="s">
        <v>1037</v>
      </c>
      <c r="C4" s="4" t="s">
        <v>1038</v>
      </c>
      <c r="D4" s="4" t="s">
        <v>1039</v>
      </c>
    </row>
    <row r="5" customFormat="false" ht="33.75" hidden="false" customHeight="true" outlineLevel="0" collapsed="false">
      <c r="A5" s="5" t="s">
        <v>1040</v>
      </c>
      <c r="B5" s="6" t="s">
        <v>1041</v>
      </c>
      <c r="C5" s="6" t="s">
        <v>1042</v>
      </c>
      <c r="D5" s="6" t="s">
        <v>1043</v>
      </c>
    </row>
    <row r="6" customFormat="false" ht="33.75" hidden="false" customHeight="true" outlineLevel="0" collapsed="false">
      <c r="A6" s="5" t="s">
        <v>1044</v>
      </c>
      <c r="B6" s="6" t="s">
        <v>1045</v>
      </c>
      <c r="C6" s="6" t="s">
        <v>1046</v>
      </c>
      <c r="D6" s="6" t="s">
        <v>1047</v>
      </c>
    </row>
    <row r="7" customFormat="false" ht="33.75" hidden="false" customHeight="true" outlineLevel="0" collapsed="false">
      <c r="A7" s="5" t="s">
        <v>1048</v>
      </c>
      <c r="B7" s="6" t="s">
        <v>1049</v>
      </c>
      <c r="C7" s="6" t="s">
        <v>1050</v>
      </c>
      <c r="D7" s="6" t="s">
        <v>1051</v>
      </c>
    </row>
    <row r="8" customFormat="false" ht="33.75" hidden="false" customHeight="true" outlineLevel="0" collapsed="false">
      <c r="A8" s="5" t="s">
        <v>1052</v>
      </c>
      <c r="B8" s="6" t="s">
        <v>1053</v>
      </c>
      <c r="C8" s="6" t="s">
        <v>1054</v>
      </c>
      <c r="D8" s="6" t="s">
        <v>1055</v>
      </c>
    </row>
    <row r="9" customFormat="false" ht="33.75" hidden="false" customHeight="true" outlineLevel="0" collapsed="false">
      <c r="A9" s="5" t="s">
        <v>1056</v>
      </c>
      <c r="B9" s="6" t="s">
        <v>1057</v>
      </c>
      <c r="C9" s="6" t="s">
        <v>1058</v>
      </c>
      <c r="D9" s="6" t="s">
        <v>1059</v>
      </c>
    </row>
    <row r="10" customFormat="false" ht="33.75" hidden="false" customHeight="true" outlineLevel="0" collapsed="false">
      <c r="A10" s="5" t="s">
        <v>1060</v>
      </c>
      <c r="B10" s="6" t="s">
        <v>1061</v>
      </c>
      <c r="C10" s="6" t="s">
        <v>1062</v>
      </c>
      <c r="D10" s="6" t="s">
        <v>1063</v>
      </c>
    </row>
    <row r="11" customFormat="false" ht="33.75" hidden="false" customHeight="true" outlineLevel="0" collapsed="false">
      <c r="A11" s="5" t="s">
        <v>1064</v>
      </c>
      <c r="B11" s="6" t="s">
        <v>1065</v>
      </c>
      <c r="C11" s="6" t="s">
        <v>1066</v>
      </c>
      <c r="D11" s="6" t="s">
        <v>1067</v>
      </c>
    </row>
    <row r="12" customFormat="false" ht="33.75" hidden="false" customHeight="true" outlineLevel="0" collapsed="false">
      <c r="A12" s="5" t="s">
        <v>1068</v>
      </c>
      <c r="B12" s="6" t="s">
        <v>1069</v>
      </c>
      <c r="C12" s="6" t="s">
        <v>1070</v>
      </c>
      <c r="D12" s="6" t="s">
        <v>1071</v>
      </c>
    </row>
    <row r="13" customFormat="false" ht="33.75" hidden="false" customHeight="true" outlineLevel="0" collapsed="false">
      <c r="A13" s="5" t="s">
        <v>1072</v>
      </c>
      <c r="B13" s="6" t="s">
        <v>1073</v>
      </c>
      <c r="C13" s="6" t="s">
        <v>1074</v>
      </c>
      <c r="D13" s="6" t="s">
        <v>1075</v>
      </c>
    </row>
    <row r="14" customFormat="false" ht="33.75" hidden="false" customHeight="true" outlineLevel="0" collapsed="false">
      <c r="A14" s="5" t="s">
        <v>1076</v>
      </c>
      <c r="B14" s="6" t="s">
        <v>1077</v>
      </c>
      <c r="C14" s="6" t="s">
        <v>1078</v>
      </c>
      <c r="D14" s="6" t="s">
        <v>1079</v>
      </c>
    </row>
  </sheetData>
  <autoFilter ref="A4:D14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6"/>
    <col collapsed="false" customWidth="true" hidden="false" outlineLevel="0" max="3" min="3" style="1" width="42"/>
    <col collapsed="false" customWidth="true" hidden="false" outlineLevel="0" max="4" min="4" style="1" width="24"/>
    <col collapsed="false" customWidth="true" hidden="false" outlineLevel="0" max="5" min="5" style="1" width="52"/>
    <col collapsed="false" customWidth="true" hidden="false" outlineLevel="0" max="12" min="6" style="1" width="13"/>
  </cols>
  <sheetData>
    <row r="1" customFormat="false" ht="25.5" hidden="false" customHeight="true" outlineLevel="0" collapsed="false">
      <c r="A1" s="2" t="s">
        <v>1080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1081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1082</v>
      </c>
      <c r="B4" s="4" t="s">
        <v>1083</v>
      </c>
      <c r="C4" s="4" t="s">
        <v>1084</v>
      </c>
      <c r="D4" s="4" t="s">
        <v>1085</v>
      </c>
      <c r="E4" s="4" t="s">
        <v>1086</v>
      </c>
    </row>
    <row r="5" customFormat="false" ht="33.75" hidden="false" customHeight="true" outlineLevel="0" collapsed="false">
      <c r="A5" s="5" t="s">
        <v>1087</v>
      </c>
      <c r="B5" s="6" t="s">
        <v>1088</v>
      </c>
      <c r="C5" s="6" t="s">
        <v>560</v>
      </c>
      <c r="D5" s="6" t="s">
        <v>1089</v>
      </c>
      <c r="E5" s="6" t="s">
        <v>1090</v>
      </c>
    </row>
    <row r="6" customFormat="false" ht="33.75" hidden="false" customHeight="true" outlineLevel="0" collapsed="false">
      <c r="A6" s="5" t="s">
        <v>1091</v>
      </c>
      <c r="B6" s="6" t="s">
        <v>1092</v>
      </c>
      <c r="C6" s="6" t="s">
        <v>663</v>
      </c>
      <c r="D6" s="6" t="s">
        <v>1089</v>
      </c>
      <c r="E6" s="6" t="s">
        <v>1093</v>
      </c>
    </row>
    <row r="7" customFormat="false" ht="33.75" hidden="false" customHeight="true" outlineLevel="0" collapsed="false">
      <c r="A7" s="5" t="s">
        <v>1094</v>
      </c>
      <c r="B7" s="6" t="s">
        <v>1095</v>
      </c>
      <c r="C7" s="6" t="s">
        <v>1096</v>
      </c>
      <c r="D7" s="6" t="s">
        <v>1097</v>
      </c>
      <c r="E7" s="6" t="s">
        <v>1098</v>
      </c>
    </row>
    <row r="8" customFormat="false" ht="33.75" hidden="false" customHeight="true" outlineLevel="0" collapsed="false">
      <c r="A8" s="5" t="s">
        <v>1099</v>
      </c>
      <c r="B8" s="6" t="s">
        <v>1100</v>
      </c>
      <c r="C8" s="6" t="s">
        <v>1101</v>
      </c>
      <c r="D8" s="6" t="s">
        <v>1102</v>
      </c>
      <c r="E8" s="6" t="s">
        <v>1103</v>
      </c>
    </row>
    <row r="9" customFormat="false" ht="33.75" hidden="false" customHeight="true" outlineLevel="0" collapsed="false">
      <c r="A9" s="5" t="s">
        <v>1104</v>
      </c>
      <c r="B9" s="6" t="s">
        <v>1105</v>
      </c>
      <c r="C9" s="6" t="s">
        <v>1106</v>
      </c>
      <c r="D9" s="6" t="s">
        <v>1107</v>
      </c>
      <c r="E9" s="6" t="s">
        <v>1108</v>
      </c>
    </row>
    <row r="10" customFormat="false" ht="33.75" hidden="false" customHeight="true" outlineLevel="0" collapsed="false">
      <c r="A10" s="5" t="s">
        <v>1109</v>
      </c>
      <c r="B10" s="6" t="s">
        <v>1110</v>
      </c>
      <c r="C10" s="6" t="s">
        <v>1106</v>
      </c>
      <c r="D10" s="6" t="s">
        <v>1111</v>
      </c>
      <c r="E10" s="6" t="s">
        <v>1112</v>
      </c>
    </row>
    <row r="11" customFormat="false" ht="33.75" hidden="false" customHeight="true" outlineLevel="0" collapsed="false">
      <c r="A11" s="5" t="s">
        <v>1113</v>
      </c>
      <c r="B11" s="6" t="s">
        <v>1114</v>
      </c>
      <c r="C11" s="6" t="s">
        <v>1115</v>
      </c>
      <c r="D11" s="6" t="s">
        <v>1116</v>
      </c>
      <c r="E11" s="6" t="s">
        <v>1117</v>
      </c>
    </row>
    <row r="12" customFormat="false" ht="33.75" hidden="false" customHeight="true" outlineLevel="0" collapsed="false">
      <c r="A12" s="5" t="s">
        <v>1118</v>
      </c>
      <c r="B12" s="6" t="s">
        <v>1119</v>
      </c>
      <c r="C12" s="6" t="s">
        <v>1120</v>
      </c>
      <c r="D12" s="6" t="s">
        <v>1089</v>
      </c>
      <c r="E12" s="6" t="s">
        <v>1121</v>
      </c>
    </row>
    <row r="13" customFormat="false" ht="33.75" hidden="false" customHeight="true" outlineLevel="0" collapsed="false">
      <c r="A13" s="5" t="s">
        <v>1122</v>
      </c>
      <c r="B13" s="6" t="s">
        <v>1123</v>
      </c>
      <c r="C13" s="6" t="s">
        <v>1120</v>
      </c>
      <c r="D13" s="6" t="s">
        <v>1089</v>
      </c>
      <c r="E13" s="6" t="s">
        <v>1124</v>
      </c>
    </row>
    <row r="14" customFormat="false" ht="33.75" hidden="false" customHeight="true" outlineLevel="0" collapsed="false">
      <c r="A14" s="5" t="s">
        <v>1125</v>
      </c>
      <c r="B14" s="6" t="s">
        <v>1126</v>
      </c>
      <c r="C14" s="6" t="s">
        <v>1127</v>
      </c>
      <c r="D14" s="6" t="s">
        <v>1128</v>
      </c>
      <c r="E14" s="6" t="s">
        <v>1129</v>
      </c>
    </row>
    <row r="15" customFormat="false" ht="33.75" hidden="false" customHeight="true" outlineLevel="0" collapsed="false">
      <c r="A15" s="5" t="s">
        <v>1130</v>
      </c>
      <c r="B15" s="6" t="s">
        <v>1131</v>
      </c>
      <c r="C15" s="6" t="s">
        <v>1132</v>
      </c>
      <c r="D15" s="6" t="s">
        <v>1133</v>
      </c>
      <c r="E15" s="6" t="s">
        <v>1134</v>
      </c>
    </row>
    <row r="16" customFormat="false" ht="33.75" hidden="false" customHeight="true" outlineLevel="0" collapsed="false">
      <c r="A16" s="5" t="s">
        <v>1135</v>
      </c>
      <c r="B16" s="6" t="s">
        <v>1136</v>
      </c>
      <c r="C16" s="6" t="s">
        <v>1137</v>
      </c>
      <c r="D16" s="6" t="s">
        <v>1138</v>
      </c>
      <c r="E16" s="6" t="s">
        <v>1139</v>
      </c>
    </row>
  </sheetData>
  <autoFilter ref="A4:E16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28"/>
    <col collapsed="false" customWidth="true" hidden="false" outlineLevel="0" max="4" min="4" style="1" width="34"/>
    <col collapsed="false" customWidth="true" hidden="false" outlineLevel="0" max="5" min="5" style="1" width="48"/>
    <col collapsed="false" customWidth="true" hidden="false" outlineLevel="0" max="6" min="6" style="1" width="40"/>
    <col collapsed="false" customWidth="true" hidden="false" outlineLevel="0" max="7" min="7" style="1" width="42"/>
    <col collapsed="false" customWidth="true" hidden="false" outlineLevel="0" max="8" min="8" style="1" width="18"/>
    <col collapsed="false" customWidth="true" hidden="false" outlineLevel="0" max="12" min="9" style="1" width="13"/>
  </cols>
  <sheetData>
    <row r="1" customFormat="false" ht="25.5" hidden="false" customHeight="true" outlineLevel="0" collapsed="false">
      <c r="A1" s="2" t="s">
        <v>1140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1141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1142</v>
      </c>
      <c r="B4" s="4" t="s">
        <v>1143</v>
      </c>
      <c r="C4" s="4" t="s">
        <v>1144</v>
      </c>
      <c r="D4" s="4" t="s">
        <v>1145</v>
      </c>
      <c r="E4" s="4" t="s">
        <v>1146</v>
      </c>
      <c r="F4" s="4" t="s">
        <v>1147</v>
      </c>
      <c r="G4" s="4" t="s">
        <v>43</v>
      </c>
      <c r="H4" s="4" t="s">
        <v>1148</v>
      </c>
    </row>
    <row r="5" customFormat="false" ht="33.75" hidden="false" customHeight="true" outlineLevel="0" collapsed="false">
      <c r="A5" s="5" t="s">
        <v>1149</v>
      </c>
      <c r="B5" s="6" t="s">
        <v>796</v>
      </c>
      <c r="C5" s="6" t="s">
        <v>1150</v>
      </c>
      <c r="D5" s="6" t="s">
        <v>563</v>
      </c>
      <c r="E5" s="6" t="s">
        <v>1151</v>
      </c>
      <c r="F5" s="6" t="s">
        <v>1152</v>
      </c>
      <c r="G5" s="6" t="s">
        <v>88</v>
      </c>
      <c r="H5" s="6" t="s">
        <v>1153</v>
      </c>
    </row>
    <row r="6" customFormat="false" ht="33.75" hidden="false" customHeight="true" outlineLevel="0" collapsed="false">
      <c r="A6" s="5" t="s">
        <v>1154</v>
      </c>
      <c r="B6" s="6" t="s">
        <v>107</v>
      </c>
      <c r="C6" s="6" t="s">
        <v>1155</v>
      </c>
      <c r="D6" s="6" t="s">
        <v>1156</v>
      </c>
      <c r="E6" s="6" t="s">
        <v>1157</v>
      </c>
      <c r="F6" s="6" t="s">
        <v>1158</v>
      </c>
      <c r="G6" s="6" t="s">
        <v>613</v>
      </c>
      <c r="H6" s="6" t="s">
        <v>1159</v>
      </c>
    </row>
    <row r="7" customFormat="false" ht="33.75" hidden="false" customHeight="true" outlineLevel="0" collapsed="false">
      <c r="A7" s="5" t="s">
        <v>1160</v>
      </c>
      <c r="B7" s="6" t="s">
        <v>665</v>
      </c>
      <c r="C7" s="6" t="s">
        <v>832</v>
      </c>
      <c r="D7" s="6" t="s">
        <v>1161</v>
      </c>
      <c r="E7" s="6" t="s">
        <v>1162</v>
      </c>
      <c r="F7" s="6" t="s">
        <v>1163</v>
      </c>
      <c r="G7" s="6" t="s">
        <v>1164</v>
      </c>
      <c r="H7" s="6" t="s">
        <v>1165</v>
      </c>
    </row>
    <row r="8" customFormat="false" ht="33.75" hidden="false" customHeight="true" outlineLevel="0" collapsed="false">
      <c r="A8" s="5" t="s">
        <v>1166</v>
      </c>
      <c r="B8" s="6" t="s">
        <v>647</v>
      </c>
      <c r="C8" s="6" t="s">
        <v>635</v>
      </c>
      <c r="D8" s="6" t="s">
        <v>648</v>
      </c>
      <c r="E8" s="6" t="s">
        <v>1167</v>
      </c>
      <c r="F8" s="6" t="s">
        <v>1168</v>
      </c>
      <c r="G8" s="6" t="s">
        <v>1169</v>
      </c>
      <c r="H8" s="6" t="s">
        <v>1170</v>
      </c>
    </row>
    <row r="9" customFormat="false" ht="33.75" hidden="false" customHeight="true" outlineLevel="0" collapsed="false">
      <c r="A9" s="5" t="s">
        <v>1171</v>
      </c>
      <c r="B9" s="6" t="s">
        <v>698</v>
      </c>
      <c r="C9" s="6" t="s">
        <v>686</v>
      </c>
      <c r="D9" s="6" t="s">
        <v>699</v>
      </c>
      <c r="E9" s="6" t="s">
        <v>1172</v>
      </c>
      <c r="F9" s="6" t="s">
        <v>1173</v>
      </c>
      <c r="G9" s="6" t="s">
        <v>613</v>
      </c>
      <c r="H9" s="6" t="s">
        <v>1174</v>
      </c>
    </row>
    <row r="10" customFormat="false" ht="33.75" hidden="false" customHeight="true" outlineLevel="0" collapsed="false">
      <c r="A10" s="5" t="s">
        <v>1175</v>
      </c>
      <c r="B10" s="6" t="s">
        <v>1176</v>
      </c>
      <c r="C10" s="6" t="s">
        <v>1177</v>
      </c>
      <c r="D10" s="6" t="s">
        <v>1178</v>
      </c>
      <c r="E10" s="6" t="s">
        <v>1179</v>
      </c>
      <c r="F10" s="6" t="s">
        <v>1180</v>
      </c>
      <c r="G10" s="6" t="s">
        <v>667</v>
      </c>
      <c r="H10" s="6" t="s">
        <v>1181</v>
      </c>
    </row>
    <row r="11" customFormat="false" ht="33.75" hidden="false" customHeight="true" outlineLevel="0" collapsed="false">
      <c r="A11" s="5" t="s">
        <v>1182</v>
      </c>
      <c r="B11" s="6" t="s">
        <v>1183</v>
      </c>
      <c r="C11" s="6" t="s">
        <v>1184</v>
      </c>
      <c r="D11" s="6" t="s">
        <v>714</v>
      </c>
      <c r="E11" s="6" t="s">
        <v>1185</v>
      </c>
      <c r="F11" s="6" t="s">
        <v>1186</v>
      </c>
      <c r="G11" s="6" t="s">
        <v>1187</v>
      </c>
      <c r="H11" s="6" t="s">
        <v>317</v>
      </c>
    </row>
    <row r="12" customFormat="false" ht="33.75" hidden="false" customHeight="true" outlineLevel="0" collapsed="false">
      <c r="A12" s="5" t="s">
        <v>1188</v>
      </c>
      <c r="B12" s="6" t="s">
        <v>1189</v>
      </c>
      <c r="C12" s="6" t="s">
        <v>1190</v>
      </c>
      <c r="D12" s="6" t="s">
        <v>612</v>
      </c>
      <c r="E12" s="6" t="s">
        <v>1191</v>
      </c>
      <c r="F12" s="6" t="s">
        <v>1192</v>
      </c>
      <c r="G12" s="6" t="s">
        <v>1187</v>
      </c>
      <c r="H12" s="6" t="s">
        <v>615</v>
      </c>
    </row>
    <row r="13" customFormat="false" ht="33.75" hidden="false" customHeight="true" outlineLevel="0" collapsed="false">
      <c r="A13" s="5" t="s">
        <v>1193</v>
      </c>
      <c r="B13" s="6" t="s">
        <v>1194</v>
      </c>
      <c r="C13" s="6" t="s">
        <v>1195</v>
      </c>
      <c r="D13" s="6" t="s">
        <v>1196</v>
      </c>
      <c r="E13" s="6" t="s">
        <v>1197</v>
      </c>
      <c r="F13" s="6" t="s">
        <v>1198</v>
      </c>
      <c r="G13" s="6" t="s">
        <v>1199</v>
      </c>
      <c r="H13" s="6" t="s">
        <v>1200</v>
      </c>
    </row>
    <row r="14" customFormat="false" ht="33.75" hidden="false" customHeight="true" outlineLevel="0" collapsed="false">
      <c r="A14" s="5" t="s">
        <v>1201</v>
      </c>
      <c r="B14" s="6" t="s">
        <v>1202</v>
      </c>
      <c r="C14" s="6" t="s">
        <v>1203</v>
      </c>
      <c r="D14" s="6" t="s">
        <v>1204</v>
      </c>
      <c r="E14" s="6" t="s">
        <v>1205</v>
      </c>
      <c r="F14" s="6" t="s">
        <v>737</v>
      </c>
      <c r="G14" s="6" t="s">
        <v>733</v>
      </c>
      <c r="H14" s="6" t="s">
        <v>168</v>
      </c>
    </row>
  </sheetData>
  <autoFilter ref="A4:H14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5"/>
    <col collapsed="false" customWidth="true" hidden="false" outlineLevel="0" max="3" min="3" style="1" width="40"/>
    <col collapsed="false" customWidth="true" hidden="false" outlineLevel="0" max="4" min="4" style="1" width="72"/>
    <col collapsed="false" customWidth="true" hidden="false" outlineLevel="0" max="5" min="5" style="1" width="24"/>
    <col collapsed="false" customWidth="true" hidden="false" outlineLevel="0" max="12" min="6" style="1" width="13"/>
  </cols>
  <sheetData>
    <row r="1" customFormat="false" ht="25.5" hidden="false" customHeight="true" outlineLevel="0" collapsed="false">
      <c r="A1" s="2" t="s">
        <v>1206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1207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1036</v>
      </c>
      <c r="B4" s="4" t="s">
        <v>1208</v>
      </c>
      <c r="C4" s="4" t="s">
        <v>1209</v>
      </c>
      <c r="D4" s="4" t="s">
        <v>1210</v>
      </c>
      <c r="E4" s="4" t="s">
        <v>1211</v>
      </c>
    </row>
    <row r="5" customFormat="false" ht="33.75" hidden="false" customHeight="true" outlineLevel="0" collapsed="false">
      <c r="A5" s="5" t="s">
        <v>1212</v>
      </c>
      <c r="B5" s="6" t="s">
        <v>1213</v>
      </c>
      <c r="C5" s="6" t="s">
        <v>1214</v>
      </c>
      <c r="D5" s="6" t="s">
        <v>1215</v>
      </c>
      <c r="E5" s="6" t="s">
        <v>50</v>
      </c>
    </row>
    <row r="6" customFormat="false" ht="33.75" hidden="false" customHeight="true" outlineLevel="0" collapsed="false">
      <c r="A6" s="5" t="s">
        <v>1216</v>
      </c>
      <c r="B6" s="6" t="s">
        <v>1217</v>
      </c>
      <c r="C6" s="6" t="s">
        <v>1218</v>
      </c>
      <c r="D6" s="6" t="s">
        <v>1219</v>
      </c>
      <c r="E6" s="6" t="s">
        <v>1220</v>
      </c>
    </row>
    <row r="7" customFormat="false" ht="33.75" hidden="false" customHeight="true" outlineLevel="0" collapsed="false">
      <c r="A7" s="5" t="s">
        <v>1221</v>
      </c>
      <c r="B7" s="6" t="s">
        <v>1222</v>
      </c>
      <c r="C7" s="6" t="s">
        <v>1223</v>
      </c>
      <c r="D7" s="6" t="s">
        <v>1224</v>
      </c>
      <c r="E7" s="6" t="s">
        <v>50</v>
      </c>
    </row>
    <row r="8" customFormat="false" ht="33.75" hidden="false" customHeight="true" outlineLevel="0" collapsed="false">
      <c r="A8" s="5" t="s">
        <v>1225</v>
      </c>
      <c r="B8" s="6" t="s">
        <v>1226</v>
      </c>
      <c r="C8" s="6" t="s">
        <v>1227</v>
      </c>
      <c r="D8" s="6" t="s">
        <v>1228</v>
      </c>
      <c r="E8" s="6" t="s">
        <v>50</v>
      </c>
    </row>
    <row r="9" customFormat="false" ht="33.75" hidden="false" customHeight="true" outlineLevel="0" collapsed="false">
      <c r="A9" s="5" t="s">
        <v>1229</v>
      </c>
      <c r="B9" s="6" t="s">
        <v>1230</v>
      </c>
      <c r="C9" s="6" t="s">
        <v>1231</v>
      </c>
      <c r="D9" s="6" t="s">
        <v>1232</v>
      </c>
      <c r="E9" s="6" t="s">
        <v>171</v>
      </c>
    </row>
    <row r="10" customFormat="false" ht="33.75" hidden="false" customHeight="true" outlineLevel="0" collapsed="false">
      <c r="A10" s="5" t="s">
        <v>1233</v>
      </c>
      <c r="B10" s="6" t="s">
        <v>1234</v>
      </c>
      <c r="C10" s="6" t="s">
        <v>1235</v>
      </c>
      <c r="D10" s="6" t="s">
        <v>1236</v>
      </c>
      <c r="E10" s="6" t="s">
        <v>1237</v>
      </c>
    </row>
    <row r="11" customFormat="false" ht="33.75" hidden="false" customHeight="true" outlineLevel="0" collapsed="false">
      <c r="A11" s="5" t="s">
        <v>1238</v>
      </c>
      <c r="B11" s="6" t="s">
        <v>1239</v>
      </c>
      <c r="C11" s="6" t="s">
        <v>1240</v>
      </c>
      <c r="D11" s="6" t="s">
        <v>1241</v>
      </c>
      <c r="E11" s="6" t="s">
        <v>50</v>
      </c>
    </row>
    <row r="12" customFormat="false" ht="33.75" hidden="false" customHeight="true" outlineLevel="0" collapsed="false">
      <c r="A12" s="5" t="s">
        <v>1242</v>
      </c>
      <c r="B12" s="6" t="s">
        <v>1243</v>
      </c>
      <c r="C12" s="6" t="s">
        <v>1244</v>
      </c>
      <c r="D12" s="6" t="s">
        <v>1245</v>
      </c>
      <c r="E12" s="6" t="s">
        <v>50</v>
      </c>
    </row>
    <row r="13" customFormat="false" ht="33.75" hidden="false" customHeight="true" outlineLevel="0" collapsed="false">
      <c r="A13" s="5" t="s">
        <v>1246</v>
      </c>
      <c r="B13" s="6" t="s">
        <v>1247</v>
      </c>
      <c r="C13" s="6" t="s">
        <v>1248</v>
      </c>
      <c r="D13" s="6" t="s">
        <v>1249</v>
      </c>
      <c r="E13" s="6" t="s">
        <v>171</v>
      </c>
    </row>
    <row r="14" customFormat="false" ht="33.75" hidden="false" customHeight="true" outlineLevel="0" collapsed="false">
      <c r="A14" s="5" t="s">
        <v>1250</v>
      </c>
      <c r="B14" s="6" t="s">
        <v>999</v>
      </c>
      <c r="C14" s="6" t="s">
        <v>1251</v>
      </c>
      <c r="D14" s="6" t="s">
        <v>1252</v>
      </c>
      <c r="E14" s="6" t="s">
        <v>50</v>
      </c>
    </row>
    <row r="15" customFormat="false" ht="33.75" hidden="false" customHeight="true" outlineLevel="0" collapsed="false">
      <c r="A15" s="5" t="s">
        <v>1253</v>
      </c>
      <c r="B15" s="6" t="s">
        <v>1254</v>
      </c>
      <c r="C15" s="6" t="s">
        <v>1255</v>
      </c>
      <c r="D15" s="6" t="s">
        <v>1256</v>
      </c>
      <c r="E15" s="6" t="s">
        <v>50</v>
      </c>
    </row>
    <row r="16" customFormat="false" ht="33.75" hidden="false" customHeight="true" outlineLevel="0" collapsed="false">
      <c r="A16" s="5" t="s">
        <v>1257</v>
      </c>
      <c r="B16" s="6" t="s">
        <v>1258</v>
      </c>
      <c r="C16" s="6" t="s">
        <v>1259</v>
      </c>
      <c r="D16" s="6" t="s">
        <v>1260</v>
      </c>
      <c r="E16" s="6" t="s">
        <v>50</v>
      </c>
    </row>
    <row r="17" customFormat="false" ht="33.75" hidden="false" customHeight="true" outlineLevel="0" collapsed="false">
      <c r="A17" s="5" t="s">
        <v>1261</v>
      </c>
      <c r="B17" s="6" t="s">
        <v>1262</v>
      </c>
      <c r="C17" s="6" t="s">
        <v>1263</v>
      </c>
      <c r="D17" s="6" t="s">
        <v>1264</v>
      </c>
      <c r="E17" s="6" t="s">
        <v>50</v>
      </c>
    </row>
    <row r="18" customFormat="false" ht="33.75" hidden="false" customHeight="true" outlineLevel="0" collapsed="false">
      <c r="A18" s="5" t="s">
        <v>1265</v>
      </c>
      <c r="B18" s="6" t="s">
        <v>1266</v>
      </c>
      <c r="C18" s="6" t="s">
        <v>1267</v>
      </c>
      <c r="D18" s="6" t="s">
        <v>1268</v>
      </c>
      <c r="E18" s="6" t="s">
        <v>1269</v>
      </c>
    </row>
  </sheetData>
  <autoFilter ref="A4:E18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4"/>
    <col collapsed="false" customWidth="true" hidden="false" outlineLevel="0" max="3" min="3" style="1" width="75"/>
    <col collapsed="false" customWidth="true" hidden="false" outlineLevel="0" max="4" min="4" style="1" width="34"/>
    <col collapsed="false" customWidth="true" hidden="false" outlineLevel="0" max="12" min="5" style="1" width="13"/>
  </cols>
  <sheetData>
    <row r="1" customFormat="false" ht="25.5" hidden="false" customHeight="true" outlineLevel="0" collapsed="false">
      <c r="A1" s="2" t="s">
        <v>1270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1271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1272</v>
      </c>
      <c r="B4" s="4" t="s">
        <v>1273</v>
      </c>
      <c r="C4" s="4" t="s">
        <v>3</v>
      </c>
      <c r="D4" s="4" t="s">
        <v>1274</v>
      </c>
    </row>
    <row r="5" customFormat="false" ht="33.75" hidden="false" customHeight="true" outlineLevel="0" collapsed="false">
      <c r="A5" s="5" t="s">
        <v>1275</v>
      </c>
      <c r="B5" s="6" t="s">
        <v>1276</v>
      </c>
      <c r="C5" s="6" t="s">
        <v>1277</v>
      </c>
      <c r="D5" s="6" t="s">
        <v>1278</v>
      </c>
    </row>
    <row r="6" customFormat="false" ht="33.75" hidden="false" customHeight="true" outlineLevel="0" collapsed="false">
      <c r="A6" s="5" t="s">
        <v>1279</v>
      </c>
      <c r="B6" s="6" t="s">
        <v>1280</v>
      </c>
      <c r="C6" s="6" t="s">
        <v>1281</v>
      </c>
      <c r="D6" s="6" t="s">
        <v>1282</v>
      </c>
    </row>
    <row r="7" customFormat="false" ht="33.75" hidden="false" customHeight="true" outlineLevel="0" collapsed="false">
      <c r="A7" s="5" t="s">
        <v>1283</v>
      </c>
      <c r="B7" s="6" t="s">
        <v>1284</v>
      </c>
      <c r="C7" s="6" t="s">
        <v>1285</v>
      </c>
      <c r="D7" s="6" t="s">
        <v>1286</v>
      </c>
    </row>
    <row r="8" customFormat="false" ht="33.75" hidden="false" customHeight="true" outlineLevel="0" collapsed="false">
      <c r="A8" s="5" t="s">
        <v>1287</v>
      </c>
      <c r="B8" s="6" t="s">
        <v>51</v>
      </c>
      <c r="C8" s="6" t="s">
        <v>1288</v>
      </c>
      <c r="D8" s="6" t="s">
        <v>1289</v>
      </c>
    </row>
    <row r="9" customFormat="false" ht="33.75" hidden="false" customHeight="true" outlineLevel="0" collapsed="false">
      <c r="A9" s="5" t="s">
        <v>1290</v>
      </c>
      <c r="B9" s="6" t="s">
        <v>1291</v>
      </c>
      <c r="C9" s="6" t="s">
        <v>1292</v>
      </c>
      <c r="D9" s="6" t="s">
        <v>1293</v>
      </c>
    </row>
    <row r="10" customFormat="false" ht="33.75" hidden="false" customHeight="true" outlineLevel="0" collapsed="false">
      <c r="A10" s="5" t="s">
        <v>1294</v>
      </c>
      <c r="B10" s="6" t="s">
        <v>1295</v>
      </c>
      <c r="C10" s="6" t="s">
        <v>1296</v>
      </c>
      <c r="D10" s="6" t="s">
        <v>1297</v>
      </c>
    </row>
    <row r="11" customFormat="false" ht="33.75" hidden="false" customHeight="true" outlineLevel="0" collapsed="false">
      <c r="A11" s="5" t="s">
        <v>1298</v>
      </c>
      <c r="B11" s="6" t="s">
        <v>1026</v>
      </c>
      <c r="C11" s="6" t="s">
        <v>1299</v>
      </c>
      <c r="D11" s="6" t="s">
        <v>903</v>
      </c>
    </row>
    <row r="12" customFormat="false" ht="33.75" hidden="false" customHeight="true" outlineLevel="0" collapsed="false">
      <c r="A12" s="5" t="s">
        <v>1300</v>
      </c>
      <c r="B12" s="6" t="s">
        <v>1301</v>
      </c>
      <c r="C12" s="6" t="s">
        <v>1302</v>
      </c>
      <c r="D12" s="6" t="s">
        <v>853</v>
      </c>
    </row>
    <row r="13" customFormat="false" ht="33.75" hidden="false" customHeight="true" outlineLevel="0" collapsed="false">
      <c r="A13" s="5" t="s">
        <v>1303</v>
      </c>
      <c r="B13" s="6" t="s">
        <v>999</v>
      </c>
      <c r="C13" s="6" t="s">
        <v>1304</v>
      </c>
      <c r="D13" s="6" t="s">
        <v>554</v>
      </c>
    </row>
    <row r="14" customFormat="false" ht="33.75" hidden="false" customHeight="true" outlineLevel="0" collapsed="false">
      <c r="A14" s="5" t="s">
        <v>1305</v>
      </c>
      <c r="B14" s="6" t="s">
        <v>1306</v>
      </c>
      <c r="C14" s="6" t="s">
        <v>1307</v>
      </c>
      <c r="D14" s="6" t="s">
        <v>584</v>
      </c>
    </row>
    <row r="15" customFormat="false" ht="33.75" hidden="false" customHeight="true" outlineLevel="0" collapsed="false">
      <c r="A15" s="5" t="s">
        <v>1308</v>
      </c>
      <c r="B15" s="6" t="s">
        <v>1309</v>
      </c>
      <c r="C15" s="6" t="s">
        <v>1310</v>
      </c>
      <c r="D15" s="6" t="s">
        <v>1311</v>
      </c>
    </row>
    <row r="16" customFormat="false" ht="33.75" hidden="false" customHeight="true" outlineLevel="0" collapsed="false">
      <c r="A16" s="5" t="s">
        <v>1312</v>
      </c>
      <c r="B16" s="6" t="s">
        <v>1313</v>
      </c>
      <c r="C16" s="6" t="s">
        <v>1314</v>
      </c>
      <c r="D16" s="6" t="s">
        <v>1315</v>
      </c>
    </row>
  </sheetData>
  <autoFilter ref="A4:D16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8"/>
    <col collapsed="false" customWidth="true" hidden="false" outlineLevel="0" max="3" min="3" style="1" width="78"/>
    <col collapsed="false" customWidth="true" hidden="false" outlineLevel="0" max="4" min="4" style="1" width="12"/>
    <col collapsed="false" customWidth="true" hidden="false" outlineLevel="0" max="12" min="5" style="1" width="13"/>
  </cols>
  <sheetData>
    <row r="1" customFormat="false" ht="25.5" hidden="false" customHeight="true" outlineLevel="0" collapsed="false">
      <c r="A1" s="2" t="s">
        <v>1316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1317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1318</v>
      </c>
      <c r="B4" s="4" t="s">
        <v>1319</v>
      </c>
      <c r="C4" s="4" t="s">
        <v>1320</v>
      </c>
      <c r="D4" s="4" t="s">
        <v>26</v>
      </c>
    </row>
    <row r="5" customFormat="false" ht="33.75" hidden="false" customHeight="true" outlineLevel="0" collapsed="false">
      <c r="A5" s="5" t="s">
        <v>1321</v>
      </c>
      <c r="B5" s="6" t="s">
        <v>1322</v>
      </c>
      <c r="C5" s="6" t="s">
        <v>1323</v>
      </c>
      <c r="D5" s="6" t="s">
        <v>50</v>
      </c>
    </row>
    <row r="6" customFormat="false" ht="33.75" hidden="false" customHeight="true" outlineLevel="0" collapsed="false">
      <c r="A6" s="5" t="s">
        <v>1324</v>
      </c>
      <c r="B6" s="6" t="s">
        <v>1325</v>
      </c>
      <c r="C6" s="6" t="s">
        <v>1326</v>
      </c>
      <c r="D6" s="6" t="s">
        <v>50</v>
      </c>
    </row>
    <row r="7" customFormat="false" ht="33.75" hidden="false" customHeight="true" outlineLevel="0" collapsed="false">
      <c r="A7" s="5" t="s">
        <v>1327</v>
      </c>
      <c r="B7" s="6" t="s">
        <v>1328</v>
      </c>
      <c r="C7" s="6" t="s">
        <v>1329</v>
      </c>
      <c r="D7" s="6" t="s">
        <v>50</v>
      </c>
    </row>
    <row r="8" customFormat="false" ht="33.75" hidden="false" customHeight="true" outlineLevel="0" collapsed="false">
      <c r="A8" s="5" t="s">
        <v>1330</v>
      </c>
      <c r="B8" s="6" t="s">
        <v>1331</v>
      </c>
      <c r="C8" s="6" t="s">
        <v>1332</v>
      </c>
      <c r="D8" s="6" t="s">
        <v>50</v>
      </c>
    </row>
    <row r="9" customFormat="false" ht="33.75" hidden="false" customHeight="true" outlineLevel="0" collapsed="false">
      <c r="A9" s="5" t="s">
        <v>1333</v>
      </c>
      <c r="B9" s="6" t="s">
        <v>1334</v>
      </c>
      <c r="C9" s="6" t="s">
        <v>1335</v>
      </c>
      <c r="D9" s="6" t="s">
        <v>50</v>
      </c>
    </row>
    <row r="10" customFormat="false" ht="33.75" hidden="false" customHeight="true" outlineLevel="0" collapsed="false">
      <c r="A10" s="5" t="s">
        <v>1336</v>
      </c>
      <c r="B10" s="6" t="s">
        <v>1337</v>
      </c>
      <c r="C10" s="6" t="s">
        <v>1338</v>
      </c>
      <c r="D10" s="6" t="s">
        <v>50</v>
      </c>
    </row>
    <row r="11" customFormat="false" ht="33.75" hidden="false" customHeight="true" outlineLevel="0" collapsed="false">
      <c r="A11" s="5" t="s">
        <v>1339</v>
      </c>
      <c r="B11" s="6" t="s">
        <v>1340</v>
      </c>
      <c r="C11" s="6" t="s">
        <v>1341</v>
      </c>
      <c r="D11" s="6" t="s">
        <v>50</v>
      </c>
    </row>
    <row r="12" customFormat="false" ht="33.75" hidden="false" customHeight="true" outlineLevel="0" collapsed="false">
      <c r="A12" s="5" t="s">
        <v>1342</v>
      </c>
      <c r="B12" s="6" t="s">
        <v>1343</v>
      </c>
      <c r="C12" s="6" t="s">
        <v>1344</v>
      </c>
      <c r="D12" s="6" t="s">
        <v>50</v>
      </c>
    </row>
    <row r="13" customFormat="false" ht="33.75" hidden="false" customHeight="true" outlineLevel="0" collapsed="false">
      <c r="A13" s="5" t="s">
        <v>1345</v>
      </c>
      <c r="B13" s="6" t="s">
        <v>1346</v>
      </c>
      <c r="C13" s="6" t="s">
        <v>1347</v>
      </c>
      <c r="D13" s="6" t="s">
        <v>50</v>
      </c>
    </row>
    <row r="14" customFormat="false" ht="33.75" hidden="false" customHeight="true" outlineLevel="0" collapsed="false">
      <c r="A14" s="5" t="s">
        <v>1348</v>
      </c>
      <c r="B14" s="6" t="s">
        <v>1349</v>
      </c>
      <c r="C14" s="6" t="s">
        <v>1350</v>
      </c>
      <c r="D14" s="6" t="s">
        <v>50</v>
      </c>
    </row>
    <row r="15" customFormat="false" ht="33.75" hidden="false" customHeight="true" outlineLevel="0" collapsed="false">
      <c r="A15" s="5" t="s">
        <v>1351</v>
      </c>
      <c r="B15" s="6" t="s">
        <v>1352</v>
      </c>
      <c r="C15" s="6" t="s">
        <v>1353</v>
      </c>
      <c r="D15" s="6" t="s">
        <v>50</v>
      </c>
    </row>
    <row r="16" customFormat="false" ht="33.75" hidden="false" customHeight="true" outlineLevel="0" collapsed="false">
      <c r="A16" s="5" t="s">
        <v>1354</v>
      </c>
      <c r="B16" s="6" t="s">
        <v>1355</v>
      </c>
      <c r="C16" s="6" t="s">
        <v>1356</v>
      </c>
      <c r="D16" s="6" t="s">
        <v>50</v>
      </c>
    </row>
    <row r="17" customFormat="false" ht="33.75" hidden="false" customHeight="true" outlineLevel="0" collapsed="false">
      <c r="A17" s="5" t="s">
        <v>1357</v>
      </c>
      <c r="B17" s="6" t="s">
        <v>1358</v>
      </c>
      <c r="C17" s="6" t="s">
        <v>1359</v>
      </c>
      <c r="D17" s="6" t="s">
        <v>50</v>
      </c>
    </row>
    <row r="18" customFormat="false" ht="33.75" hidden="false" customHeight="true" outlineLevel="0" collapsed="false">
      <c r="A18" s="5" t="s">
        <v>1360</v>
      </c>
      <c r="B18" s="6" t="s">
        <v>1361</v>
      </c>
      <c r="C18" s="6" t="s">
        <v>1362</v>
      </c>
      <c r="D18" s="6" t="s">
        <v>171</v>
      </c>
    </row>
  </sheetData>
  <autoFilter ref="A4:D18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76"/>
    <col collapsed="false" customWidth="true" hidden="false" outlineLevel="0" max="5" min="5" style="1" width="55"/>
    <col collapsed="false" customWidth="true" hidden="false" outlineLevel="0" max="6" min="6" style="1" width="14"/>
    <col collapsed="false" customWidth="true" hidden="false" outlineLevel="0" max="12" min="7" style="1" width="13"/>
  </cols>
  <sheetData>
    <row r="1" customFormat="false" ht="25.5" hidden="false" customHeight="true" outlineLevel="0" collapsed="false">
      <c r="A1" s="2" t="s">
        <v>1363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1.5" hidden="false" customHeight="true" outlineLevel="0" collapsed="false">
      <c r="A2" s="3" t="s">
        <v>1364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1365</v>
      </c>
      <c r="B4" s="4" t="s">
        <v>26</v>
      </c>
      <c r="C4" s="4" t="s">
        <v>1037</v>
      </c>
      <c r="D4" s="4" t="s">
        <v>1366</v>
      </c>
      <c r="E4" s="4" t="s">
        <v>1367</v>
      </c>
      <c r="F4" s="4" t="s">
        <v>1368</v>
      </c>
    </row>
    <row r="5" customFormat="false" ht="33.75" hidden="false" customHeight="true" outlineLevel="0" collapsed="false">
      <c r="A5" s="5" t="s">
        <v>1369</v>
      </c>
      <c r="B5" s="6" t="s">
        <v>50</v>
      </c>
      <c r="C5" s="6" t="s">
        <v>1370</v>
      </c>
      <c r="D5" s="6" t="s">
        <v>1371</v>
      </c>
      <c r="E5" s="6" t="s">
        <v>187</v>
      </c>
      <c r="F5" s="6" t="s">
        <v>1372</v>
      </c>
    </row>
    <row r="6" customFormat="false" ht="33.75" hidden="false" customHeight="true" outlineLevel="0" collapsed="false">
      <c r="A6" s="5" t="s">
        <v>683</v>
      </c>
      <c r="B6" s="6" t="s">
        <v>50</v>
      </c>
      <c r="C6" s="6" t="s">
        <v>679</v>
      </c>
      <c r="D6" s="6" t="s">
        <v>1373</v>
      </c>
      <c r="E6" s="6" t="s">
        <v>669</v>
      </c>
      <c r="F6" s="6" t="s">
        <v>1372</v>
      </c>
    </row>
    <row r="7" customFormat="false" ht="33.75" hidden="false" customHeight="true" outlineLevel="0" collapsed="false">
      <c r="A7" s="5" t="s">
        <v>317</v>
      </c>
      <c r="B7" s="6" t="s">
        <v>50</v>
      </c>
      <c r="C7" s="6" t="s">
        <v>1374</v>
      </c>
      <c r="D7" s="6" t="s">
        <v>1375</v>
      </c>
      <c r="E7" s="6" t="s">
        <v>1376</v>
      </c>
      <c r="F7" s="6" t="s">
        <v>1372</v>
      </c>
    </row>
    <row r="8" customFormat="false" ht="33.75" hidden="false" customHeight="true" outlineLevel="0" collapsed="false">
      <c r="A8" s="5" t="s">
        <v>615</v>
      </c>
      <c r="B8" s="6" t="s">
        <v>50</v>
      </c>
      <c r="C8" s="6" t="s">
        <v>1377</v>
      </c>
      <c r="D8" s="6" t="s">
        <v>1378</v>
      </c>
      <c r="E8" s="6" t="s">
        <v>597</v>
      </c>
      <c r="F8" s="6" t="s">
        <v>1372</v>
      </c>
    </row>
    <row r="9" customFormat="false" ht="33.75" hidden="false" customHeight="true" outlineLevel="0" collapsed="false">
      <c r="A9" s="5" t="s">
        <v>168</v>
      </c>
      <c r="B9" s="6" t="s">
        <v>50</v>
      </c>
      <c r="C9" s="6" t="s">
        <v>1379</v>
      </c>
      <c r="D9" s="6" t="s">
        <v>1380</v>
      </c>
      <c r="E9" s="6" t="s">
        <v>1381</v>
      </c>
      <c r="F9" s="6" t="s">
        <v>1372</v>
      </c>
    </row>
    <row r="10" customFormat="false" ht="33.75" hidden="false" customHeight="true" outlineLevel="0" collapsed="false">
      <c r="A10" s="5" t="s">
        <v>1382</v>
      </c>
      <c r="B10" s="6" t="s">
        <v>171</v>
      </c>
      <c r="C10" s="6" t="s">
        <v>1383</v>
      </c>
      <c r="D10" s="6" t="s">
        <v>1384</v>
      </c>
      <c r="E10" s="6" t="s">
        <v>187</v>
      </c>
      <c r="F10" s="6" t="s">
        <v>1372</v>
      </c>
    </row>
    <row r="11" customFormat="false" ht="33.75" hidden="false" customHeight="true" outlineLevel="0" collapsed="false">
      <c r="A11" s="5" t="s">
        <v>90</v>
      </c>
      <c r="B11" s="6" t="s">
        <v>50</v>
      </c>
      <c r="C11" s="6" t="s">
        <v>1385</v>
      </c>
      <c r="D11" s="6" t="s">
        <v>1386</v>
      </c>
      <c r="E11" s="6" t="s">
        <v>71</v>
      </c>
      <c r="F11" s="6" t="s">
        <v>1372</v>
      </c>
    </row>
    <row r="12" customFormat="false" ht="33.75" hidden="false" customHeight="true" outlineLevel="0" collapsed="false">
      <c r="A12" s="5" t="s">
        <v>800</v>
      </c>
      <c r="B12" s="6" t="s">
        <v>171</v>
      </c>
      <c r="C12" s="6" t="s">
        <v>1387</v>
      </c>
      <c r="D12" s="6" t="s">
        <v>1388</v>
      </c>
      <c r="E12" s="6" t="s">
        <v>785</v>
      </c>
      <c r="F12" s="6" t="s">
        <v>1372</v>
      </c>
    </row>
    <row r="13" customFormat="false" ht="33.75" hidden="false" customHeight="true" outlineLevel="0" collapsed="false">
      <c r="A13" s="5" t="s">
        <v>651</v>
      </c>
      <c r="B13" s="6" t="s">
        <v>171</v>
      </c>
      <c r="C13" s="6" t="s">
        <v>1389</v>
      </c>
      <c r="D13" s="6" t="s">
        <v>1390</v>
      </c>
      <c r="E13" s="6" t="s">
        <v>634</v>
      </c>
      <c r="F13" s="6" t="s">
        <v>1372</v>
      </c>
    </row>
  </sheetData>
  <autoFilter ref="A4:F13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&amp;CMonytix F10 — End-to-End Functional Test Pack&amp;RPage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2026-09-20T06:35:17Z</dcterms:created>
  <dc:creator>openpyxl</dc:creator>
  <dc:description/>
  <dc:language>en-US</dc:language>
  <cp:lastModifiedBy/>
  <dcterms:modified xsi:type="dcterms:W3CDTF">2026-09-20T06:37:06Z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